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TGPC Share\Academy Documents\GPC Academy Documents\Academy Members\LTP\Tully, Caitlin\"/>
    </mc:Choice>
  </mc:AlternateContent>
  <bookViews>
    <workbookView xWindow="0" yWindow="0" windowWidth="20730" windowHeight="9735" activeTab="3"/>
  </bookViews>
  <sheets>
    <sheet name="Actual Board" sheetId="1" r:id="rId1"/>
    <sheet name="9.1.14" sheetId="13" r:id="rId2"/>
    <sheet name="12.1.14" sheetId="8" r:id="rId3"/>
    <sheet name="3.4.15" sheetId="11" r:id="rId4"/>
    <sheet name="8.7.15" sheetId="14" r:id="rId5"/>
    <sheet name="Test 4" sheetId="12" r:id="rId6"/>
  </sheets>
  <definedNames>
    <definedName name="_xlnm._FilterDatabase" localSheetId="2" hidden="1">'12.1.14'!$A$3:$L$59</definedName>
    <definedName name="_xlnm._FilterDatabase" localSheetId="3" hidden="1">'3.4.15'!$A$3:$L$59</definedName>
    <definedName name="_xlnm._FilterDatabase" localSheetId="4" hidden="1">'8.7.15'!$A$3:$L$59</definedName>
    <definedName name="_xlnm._FilterDatabase" localSheetId="1" hidden="1">'9.1.14'!$A$3:$L$59</definedName>
    <definedName name="_xlnm._FilterDatabase" localSheetId="5" hidden="1">'Test 4'!$A$3:$L$59</definedName>
  </definedNames>
  <calcPr calcId="152511"/>
</workbook>
</file>

<file path=xl/calcChain.xml><?xml version="1.0" encoding="utf-8"?>
<calcChain xmlns="http://schemas.openxmlformats.org/spreadsheetml/2006/main">
  <c r="E107" i="14" l="1"/>
  <c r="E105" i="14"/>
  <c r="E104" i="14"/>
  <c r="E103" i="14"/>
  <c r="E102" i="14"/>
  <c r="E100" i="14"/>
  <c r="E99" i="14"/>
  <c r="E98" i="14"/>
  <c r="H94" i="14"/>
  <c r="E94" i="14"/>
  <c r="H93" i="14"/>
  <c r="E93" i="14"/>
  <c r="H92" i="14"/>
  <c r="I92" i="14" s="1"/>
  <c r="H91" i="14"/>
  <c r="I91" i="14" s="1"/>
  <c r="H90" i="14"/>
  <c r="H89" i="14"/>
  <c r="E89" i="14"/>
  <c r="H88" i="14"/>
  <c r="I88" i="14" s="1"/>
  <c r="E88" i="14"/>
  <c r="H87" i="14"/>
  <c r="I87" i="14" s="1"/>
  <c r="E87" i="14"/>
  <c r="H86" i="14"/>
  <c r="E86" i="14"/>
  <c r="E85" i="14"/>
  <c r="E84" i="14"/>
  <c r="E83" i="14"/>
  <c r="E82" i="14"/>
  <c r="E81" i="14"/>
  <c r="E80" i="14"/>
  <c r="H79" i="14"/>
  <c r="E79" i="14"/>
  <c r="H78" i="14"/>
  <c r="I78" i="14" s="1"/>
  <c r="H77" i="14"/>
  <c r="I77" i="14" s="1"/>
  <c r="H76" i="14"/>
  <c r="I76" i="14" s="1"/>
  <c r="H75" i="14"/>
  <c r="I75" i="14" s="1"/>
  <c r="E75" i="14"/>
  <c r="H74" i="14"/>
  <c r="I74" i="14" s="1"/>
  <c r="E74" i="14"/>
  <c r="H73" i="14"/>
  <c r="I73" i="14" s="1"/>
  <c r="E73" i="14"/>
  <c r="H72" i="14"/>
  <c r="I72" i="14" s="1"/>
  <c r="E72" i="14"/>
  <c r="H71" i="14"/>
  <c r="I71" i="14" s="1"/>
  <c r="E71" i="14"/>
  <c r="H70" i="14"/>
  <c r="I70" i="14" s="1"/>
  <c r="E70" i="14"/>
  <c r="H69" i="14"/>
  <c r="E69" i="14"/>
  <c r="L59" i="14"/>
  <c r="K59" i="14"/>
  <c r="J59" i="14"/>
  <c r="I59" i="14"/>
  <c r="H59" i="14"/>
  <c r="G59" i="14"/>
  <c r="F59" i="14"/>
  <c r="E59" i="14"/>
  <c r="D59" i="14"/>
  <c r="C59" i="14"/>
  <c r="L58" i="14"/>
  <c r="K58" i="14"/>
  <c r="J58" i="14"/>
  <c r="I58" i="14"/>
  <c r="H58" i="14"/>
  <c r="G58" i="14"/>
  <c r="F58" i="14"/>
  <c r="E58" i="14"/>
  <c r="D58" i="14"/>
  <c r="C58" i="14"/>
  <c r="L56" i="14"/>
  <c r="K56" i="14"/>
  <c r="J56" i="14"/>
  <c r="I56" i="14"/>
  <c r="H56" i="14"/>
  <c r="G56" i="14"/>
  <c r="F56" i="14"/>
  <c r="E56" i="14"/>
  <c r="D56" i="14"/>
  <c r="C56" i="14"/>
  <c r="L55" i="14"/>
  <c r="K55" i="14"/>
  <c r="J55" i="14"/>
  <c r="I55" i="14"/>
  <c r="H55" i="14"/>
  <c r="G55" i="14"/>
  <c r="F55" i="14"/>
  <c r="E55" i="14"/>
  <c r="D55" i="14"/>
  <c r="C55" i="14"/>
  <c r="L54" i="14"/>
  <c r="K54" i="14"/>
  <c r="J54" i="14"/>
  <c r="I54" i="14"/>
  <c r="H54" i="14"/>
  <c r="G54" i="14"/>
  <c r="F54" i="14"/>
  <c r="E54" i="14"/>
  <c r="D54" i="14"/>
  <c r="C54" i="14"/>
  <c r="L53" i="14"/>
  <c r="K53" i="14"/>
  <c r="J53" i="14"/>
  <c r="I53" i="14"/>
  <c r="H53" i="14"/>
  <c r="G53" i="14"/>
  <c r="F53" i="14"/>
  <c r="E53" i="14"/>
  <c r="D53" i="14"/>
  <c r="C53" i="14"/>
  <c r="L52" i="14"/>
  <c r="K52" i="14"/>
  <c r="J52" i="14"/>
  <c r="I52" i="14"/>
  <c r="H52" i="14"/>
  <c r="G52" i="14"/>
  <c r="F52" i="14"/>
  <c r="E52" i="14"/>
  <c r="D52" i="14"/>
  <c r="C52" i="14"/>
  <c r="L51" i="14"/>
  <c r="K51" i="14"/>
  <c r="J51" i="14"/>
  <c r="I51" i="14"/>
  <c r="H51" i="14"/>
  <c r="G51" i="14"/>
  <c r="F51" i="14"/>
  <c r="E51" i="14"/>
  <c r="D51" i="14"/>
  <c r="C51" i="14"/>
  <c r="L50" i="14"/>
  <c r="K50" i="14"/>
  <c r="J50" i="14"/>
  <c r="I50" i="14"/>
  <c r="H50" i="14"/>
  <c r="G50" i="14"/>
  <c r="F50" i="14"/>
  <c r="E50" i="14"/>
  <c r="D50" i="14"/>
  <c r="C50" i="14"/>
  <c r="L49" i="14"/>
  <c r="K49" i="14"/>
  <c r="J49" i="14"/>
  <c r="I49" i="14"/>
  <c r="H49" i="14"/>
  <c r="G49" i="14"/>
  <c r="F49" i="14"/>
  <c r="E49" i="14"/>
  <c r="D49" i="14"/>
  <c r="C49" i="14"/>
  <c r="L48" i="14"/>
  <c r="K48" i="14"/>
  <c r="J48" i="14"/>
  <c r="I48" i="14"/>
  <c r="H48" i="14"/>
  <c r="G48" i="14"/>
  <c r="F48" i="14"/>
  <c r="E48" i="14"/>
  <c r="D48" i="14"/>
  <c r="C48" i="14"/>
  <c r="L47" i="14"/>
  <c r="K47" i="14"/>
  <c r="J47" i="14"/>
  <c r="I47" i="14"/>
  <c r="H47" i="14"/>
  <c r="G47" i="14"/>
  <c r="F47" i="14"/>
  <c r="E47" i="14"/>
  <c r="D47" i="14"/>
  <c r="C47" i="14"/>
  <c r="L46" i="14"/>
  <c r="K46" i="14"/>
  <c r="J46" i="14"/>
  <c r="I46" i="14"/>
  <c r="H46" i="14"/>
  <c r="G46" i="14"/>
  <c r="F46" i="14"/>
  <c r="E46" i="14"/>
  <c r="D46" i="14"/>
  <c r="C46" i="14"/>
  <c r="L44" i="14"/>
  <c r="K44" i="14"/>
  <c r="J44" i="14"/>
  <c r="I44" i="14"/>
  <c r="H44" i="14"/>
  <c r="G44" i="14"/>
  <c r="F44" i="14"/>
  <c r="E44" i="14"/>
  <c r="D44" i="14"/>
  <c r="C44" i="14"/>
  <c r="L43" i="14"/>
  <c r="K43" i="14"/>
  <c r="J43" i="14"/>
  <c r="I43" i="14"/>
  <c r="H43" i="14"/>
  <c r="G43" i="14"/>
  <c r="F43" i="14"/>
  <c r="E43" i="14"/>
  <c r="D43" i="14"/>
  <c r="C43" i="14"/>
  <c r="L42" i="14"/>
  <c r="K42" i="14"/>
  <c r="J42" i="14"/>
  <c r="I42" i="14"/>
  <c r="H42" i="14"/>
  <c r="G42" i="14"/>
  <c r="F42" i="14"/>
  <c r="E42" i="14"/>
  <c r="D42" i="14"/>
  <c r="C42" i="14"/>
  <c r="L41" i="14"/>
  <c r="K41" i="14"/>
  <c r="J41" i="14"/>
  <c r="I41" i="14"/>
  <c r="H41" i="14"/>
  <c r="G41" i="14"/>
  <c r="F41" i="14"/>
  <c r="E41" i="14"/>
  <c r="D41" i="14"/>
  <c r="C41" i="14"/>
  <c r="L40" i="14"/>
  <c r="K40" i="14"/>
  <c r="J40" i="14"/>
  <c r="I40" i="14"/>
  <c r="H40" i="14"/>
  <c r="G40" i="14"/>
  <c r="F40" i="14"/>
  <c r="E40" i="14"/>
  <c r="D40" i="14"/>
  <c r="C40" i="14"/>
  <c r="L39" i="14"/>
  <c r="K39" i="14"/>
  <c r="J39" i="14"/>
  <c r="I39" i="14"/>
  <c r="H39" i="14"/>
  <c r="G39" i="14"/>
  <c r="F39" i="14"/>
  <c r="E39" i="14"/>
  <c r="D39" i="14"/>
  <c r="C39" i="14"/>
  <c r="L38" i="14"/>
  <c r="K38" i="14"/>
  <c r="J38" i="14"/>
  <c r="I38" i="14"/>
  <c r="H38" i="14"/>
  <c r="G38" i="14"/>
  <c r="F38" i="14"/>
  <c r="E38" i="14"/>
  <c r="D38" i="14"/>
  <c r="C38" i="14"/>
  <c r="L37" i="14"/>
  <c r="K37" i="14"/>
  <c r="J37" i="14"/>
  <c r="I37" i="14"/>
  <c r="H37" i="14"/>
  <c r="G37" i="14"/>
  <c r="F37" i="14"/>
  <c r="E37" i="14"/>
  <c r="D37" i="14"/>
  <c r="C37" i="14"/>
  <c r="L36" i="14"/>
  <c r="K36" i="14"/>
  <c r="J36" i="14"/>
  <c r="I36" i="14"/>
  <c r="H36" i="14"/>
  <c r="G36" i="14"/>
  <c r="F36" i="14"/>
  <c r="E36" i="14"/>
  <c r="D36" i="14"/>
  <c r="C36" i="14"/>
  <c r="L34" i="14"/>
  <c r="K34" i="14"/>
  <c r="J34" i="14"/>
  <c r="I34" i="14"/>
  <c r="H34" i="14"/>
  <c r="G34" i="14"/>
  <c r="F34" i="14"/>
  <c r="E34" i="14"/>
  <c r="D34" i="14"/>
  <c r="C34" i="14"/>
  <c r="L33" i="14"/>
  <c r="K33" i="14"/>
  <c r="J33" i="14"/>
  <c r="I33" i="14"/>
  <c r="H33" i="14"/>
  <c r="G33" i="14"/>
  <c r="F33" i="14"/>
  <c r="E33" i="14"/>
  <c r="D33" i="14"/>
  <c r="C33" i="14"/>
  <c r="L32" i="14"/>
  <c r="K32" i="14"/>
  <c r="J32" i="14"/>
  <c r="I32" i="14"/>
  <c r="H32" i="14"/>
  <c r="G32" i="14"/>
  <c r="F32" i="14"/>
  <c r="E32" i="14"/>
  <c r="D32" i="14"/>
  <c r="C32" i="14"/>
  <c r="L31" i="14"/>
  <c r="K31" i="14"/>
  <c r="J31" i="14"/>
  <c r="I31" i="14"/>
  <c r="H31" i="14"/>
  <c r="G31" i="14"/>
  <c r="F31" i="14"/>
  <c r="E31" i="14"/>
  <c r="D31" i="14"/>
  <c r="C31" i="14"/>
  <c r="L30" i="14"/>
  <c r="K30" i="14"/>
  <c r="J30" i="14"/>
  <c r="I30" i="14"/>
  <c r="H30" i="14"/>
  <c r="G30" i="14"/>
  <c r="F30" i="14"/>
  <c r="E30" i="14"/>
  <c r="D30" i="14"/>
  <c r="C30" i="14"/>
  <c r="L29" i="14"/>
  <c r="K29" i="14"/>
  <c r="J29" i="14"/>
  <c r="I29" i="14"/>
  <c r="H29" i="14"/>
  <c r="G29" i="14"/>
  <c r="F29" i="14"/>
  <c r="E29" i="14"/>
  <c r="D29" i="14"/>
  <c r="C29" i="14"/>
  <c r="L28" i="14"/>
  <c r="K28" i="14"/>
  <c r="J28" i="14"/>
  <c r="I28" i="14"/>
  <c r="H28" i="14"/>
  <c r="G28" i="14"/>
  <c r="F28" i="14"/>
  <c r="E28" i="14"/>
  <c r="D28" i="14"/>
  <c r="C28" i="14"/>
  <c r="L27" i="14"/>
  <c r="K27" i="14"/>
  <c r="J27" i="14"/>
  <c r="I27" i="14"/>
  <c r="H27" i="14"/>
  <c r="G27" i="14"/>
  <c r="F27" i="14"/>
  <c r="E27" i="14"/>
  <c r="D27" i="14"/>
  <c r="C27" i="14"/>
  <c r="L25" i="14"/>
  <c r="K25" i="14"/>
  <c r="J25" i="14"/>
  <c r="I25" i="14"/>
  <c r="H25" i="14"/>
  <c r="G25" i="14"/>
  <c r="F25" i="14"/>
  <c r="E25" i="14"/>
  <c r="D25" i="14"/>
  <c r="C25" i="14"/>
  <c r="L24" i="14"/>
  <c r="K24" i="14"/>
  <c r="J24" i="14"/>
  <c r="I24" i="14"/>
  <c r="H24" i="14"/>
  <c r="G24" i="14"/>
  <c r="F24" i="14"/>
  <c r="E24" i="14"/>
  <c r="D24" i="14"/>
  <c r="C24" i="14"/>
  <c r="L22" i="14"/>
  <c r="K22" i="14"/>
  <c r="J22" i="14"/>
  <c r="I22" i="14"/>
  <c r="H22" i="14"/>
  <c r="G22" i="14"/>
  <c r="F22" i="14"/>
  <c r="E22" i="14"/>
  <c r="D22" i="14"/>
  <c r="C22" i="14"/>
  <c r="L21" i="14"/>
  <c r="K21" i="14"/>
  <c r="J21" i="14"/>
  <c r="I21" i="14"/>
  <c r="H21" i="14"/>
  <c r="G21" i="14"/>
  <c r="F21" i="14"/>
  <c r="E21" i="14"/>
  <c r="D21" i="14"/>
  <c r="C21" i="14"/>
  <c r="L20" i="14"/>
  <c r="K20" i="14"/>
  <c r="J20" i="14"/>
  <c r="I20" i="14"/>
  <c r="H20" i="14"/>
  <c r="G20" i="14"/>
  <c r="F20" i="14"/>
  <c r="E20" i="14"/>
  <c r="D20" i="14"/>
  <c r="C20" i="14"/>
  <c r="L19" i="14"/>
  <c r="K19" i="14"/>
  <c r="J19" i="14"/>
  <c r="I19" i="14"/>
  <c r="H19" i="14"/>
  <c r="G19" i="14"/>
  <c r="F19" i="14"/>
  <c r="E19" i="14"/>
  <c r="D19" i="14"/>
  <c r="C19" i="14"/>
  <c r="L18" i="14"/>
  <c r="K18" i="14"/>
  <c r="J18" i="14"/>
  <c r="I18" i="14"/>
  <c r="H18" i="14"/>
  <c r="G18" i="14"/>
  <c r="F18" i="14"/>
  <c r="E18" i="14"/>
  <c r="D18" i="14"/>
  <c r="C18" i="14"/>
  <c r="L17" i="14"/>
  <c r="K17" i="14"/>
  <c r="J17" i="14"/>
  <c r="I17" i="14"/>
  <c r="H17" i="14"/>
  <c r="G17" i="14"/>
  <c r="F17" i="14"/>
  <c r="E17" i="14"/>
  <c r="D17" i="14"/>
  <c r="C17" i="14"/>
  <c r="L16" i="14"/>
  <c r="K16" i="14"/>
  <c r="J16" i="14"/>
  <c r="I16" i="14"/>
  <c r="H16" i="14"/>
  <c r="G16" i="14"/>
  <c r="F16" i="14"/>
  <c r="E16" i="14"/>
  <c r="D16" i="14"/>
  <c r="C16" i="14"/>
  <c r="L15" i="14"/>
  <c r="K15" i="14"/>
  <c r="J15" i="14"/>
  <c r="I15" i="14"/>
  <c r="H15" i="14"/>
  <c r="G15" i="14"/>
  <c r="F15" i="14"/>
  <c r="E15" i="14"/>
  <c r="D15" i="14"/>
  <c r="C15" i="14"/>
  <c r="L14" i="14"/>
  <c r="K14" i="14"/>
  <c r="J14" i="14"/>
  <c r="I14" i="14"/>
  <c r="H14" i="14"/>
  <c r="G14" i="14"/>
  <c r="F14" i="14"/>
  <c r="E14" i="14"/>
  <c r="D14" i="14"/>
  <c r="C14" i="14"/>
  <c r="L13" i="14"/>
  <c r="K13" i="14"/>
  <c r="J13" i="14"/>
  <c r="I13" i="14"/>
  <c r="H13" i="14"/>
  <c r="G13" i="14"/>
  <c r="F13" i="14"/>
  <c r="E13" i="14"/>
  <c r="D13" i="14"/>
  <c r="C13" i="14"/>
  <c r="L12" i="14"/>
  <c r="K12" i="14"/>
  <c r="J12" i="14"/>
  <c r="I12" i="14"/>
  <c r="H12" i="14"/>
  <c r="G12" i="14"/>
  <c r="F12" i="14"/>
  <c r="E12" i="14"/>
  <c r="D12" i="14"/>
  <c r="C12" i="14"/>
  <c r="L10" i="14"/>
  <c r="K10" i="14"/>
  <c r="J10" i="14"/>
  <c r="I10" i="14"/>
  <c r="H10" i="14"/>
  <c r="G10" i="14"/>
  <c r="F10" i="14"/>
  <c r="E10" i="14"/>
  <c r="D10" i="14"/>
  <c r="C10" i="14"/>
  <c r="L9" i="14"/>
  <c r="K9" i="14"/>
  <c r="J9" i="14"/>
  <c r="I9" i="14"/>
  <c r="H9" i="14"/>
  <c r="G9" i="14"/>
  <c r="F9" i="14"/>
  <c r="E9" i="14"/>
  <c r="D9" i="14"/>
  <c r="C9" i="14"/>
  <c r="L8" i="14"/>
  <c r="K8" i="14"/>
  <c r="J8" i="14"/>
  <c r="I8" i="14"/>
  <c r="H8" i="14"/>
  <c r="G8" i="14"/>
  <c r="F8" i="14"/>
  <c r="E8" i="14"/>
  <c r="D8" i="14"/>
  <c r="C8" i="14"/>
  <c r="L7" i="14"/>
  <c r="K7" i="14"/>
  <c r="J7" i="14"/>
  <c r="I7" i="14"/>
  <c r="H7" i="14"/>
  <c r="G7" i="14"/>
  <c r="F7" i="14"/>
  <c r="E7" i="14"/>
  <c r="D7" i="14"/>
  <c r="C7" i="14"/>
  <c r="L6" i="14"/>
  <c r="K6" i="14"/>
  <c r="J6" i="14"/>
  <c r="I6" i="14"/>
  <c r="H6" i="14"/>
  <c r="G6" i="14"/>
  <c r="F6" i="14"/>
  <c r="E6" i="14"/>
  <c r="D6" i="14"/>
  <c r="C6" i="14"/>
  <c r="L5" i="14"/>
  <c r="K5" i="14"/>
  <c r="J5" i="14"/>
  <c r="I5" i="14"/>
  <c r="H5" i="14"/>
  <c r="G5" i="14"/>
  <c r="F5" i="14"/>
  <c r="E5" i="14"/>
  <c r="D5" i="14"/>
  <c r="C5" i="14"/>
  <c r="L4" i="14"/>
  <c r="K4" i="14"/>
  <c r="J4" i="14"/>
  <c r="I4" i="14"/>
  <c r="H4" i="14"/>
  <c r="G4" i="14"/>
  <c r="F4" i="14"/>
  <c r="E4" i="14"/>
  <c r="D4" i="14"/>
  <c r="C4" i="14"/>
  <c r="E95" i="14" l="1"/>
  <c r="E108" i="14"/>
  <c r="E76" i="14"/>
  <c r="I80" i="14"/>
  <c r="I81" i="14" s="1"/>
  <c r="I69" i="14"/>
  <c r="E90" i="14"/>
  <c r="E110" i="14" s="1"/>
  <c r="E111" i="14" s="1"/>
  <c r="I95" i="14"/>
  <c r="I96" i="14" s="1"/>
  <c r="E108" i="13"/>
  <c r="E107" i="13"/>
  <c r="E105" i="13"/>
  <c r="E104" i="13"/>
  <c r="E103" i="13"/>
  <c r="E102" i="13"/>
  <c r="E100" i="13"/>
  <c r="E99" i="13"/>
  <c r="E98" i="13"/>
  <c r="H94" i="13"/>
  <c r="E94" i="13"/>
  <c r="H93" i="13"/>
  <c r="E93" i="13"/>
  <c r="E95" i="13" s="1"/>
  <c r="H92" i="13"/>
  <c r="I92" i="13" s="1"/>
  <c r="H91" i="13"/>
  <c r="I91" i="13" s="1"/>
  <c r="H90" i="13"/>
  <c r="H89" i="13"/>
  <c r="E89" i="13"/>
  <c r="H88" i="13"/>
  <c r="I88" i="13" s="1"/>
  <c r="E88" i="13"/>
  <c r="H87" i="13"/>
  <c r="I87" i="13" s="1"/>
  <c r="E87" i="13"/>
  <c r="H86" i="13"/>
  <c r="E86" i="13"/>
  <c r="E85" i="13"/>
  <c r="E84" i="13"/>
  <c r="E83" i="13"/>
  <c r="E82" i="13"/>
  <c r="E81" i="13"/>
  <c r="E80" i="13"/>
  <c r="H79" i="13"/>
  <c r="E79" i="13"/>
  <c r="H78" i="13"/>
  <c r="I78" i="13" s="1"/>
  <c r="I77" i="13"/>
  <c r="H77" i="13"/>
  <c r="H76" i="13"/>
  <c r="I76" i="13" s="1"/>
  <c r="H75" i="13"/>
  <c r="I75" i="13" s="1"/>
  <c r="E75" i="13"/>
  <c r="H74" i="13"/>
  <c r="I74" i="13" s="1"/>
  <c r="E74" i="13"/>
  <c r="I73" i="13"/>
  <c r="H73" i="13"/>
  <c r="E73" i="13"/>
  <c r="H72" i="13"/>
  <c r="I72" i="13" s="1"/>
  <c r="E72" i="13"/>
  <c r="H71" i="13"/>
  <c r="I71" i="13" s="1"/>
  <c r="E71" i="13"/>
  <c r="H70" i="13"/>
  <c r="I70" i="13" s="1"/>
  <c r="E70" i="13"/>
  <c r="H69" i="13"/>
  <c r="I80" i="13" s="1"/>
  <c r="I81" i="13" s="1"/>
  <c r="E69" i="13"/>
  <c r="L59" i="13"/>
  <c r="K59" i="13"/>
  <c r="J59" i="13"/>
  <c r="I59" i="13"/>
  <c r="H59" i="13"/>
  <c r="G59" i="13"/>
  <c r="F59" i="13"/>
  <c r="E59" i="13"/>
  <c r="D59" i="13"/>
  <c r="C59" i="13"/>
  <c r="L58" i="13"/>
  <c r="K58" i="13"/>
  <c r="J58" i="13"/>
  <c r="I58" i="13"/>
  <c r="H58" i="13"/>
  <c r="G58" i="13"/>
  <c r="F58" i="13"/>
  <c r="E58" i="13"/>
  <c r="D58" i="13"/>
  <c r="C58" i="13"/>
  <c r="L56" i="13"/>
  <c r="K56" i="13"/>
  <c r="J56" i="13"/>
  <c r="I56" i="13"/>
  <c r="H56" i="13"/>
  <c r="G56" i="13"/>
  <c r="F56" i="13"/>
  <c r="E56" i="13"/>
  <c r="D56" i="13"/>
  <c r="C56" i="13"/>
  <c r="L55" i="13"/>
  <c r="K55" i="13"/>
  <c r="J55" i="13"/>
  <c r="I55" i="13"/>
  <c r="H55" i="13"/>
  <c r="G55" i="13"/>
  <c r="F55" i="13"/>
  <c r="E55" i="13"/>
  <c r="D55" i="13"/>
  <c r="C55" i="13"/>
  <c r="L54" i="13"/>
  <c r="K54" i="13"/>
  <c r="J54" i="13"/>
  <c r="I54" i="13"/>
  <c r="H54" i="13"/>
  <c r="G54" i="13"/>
  <c r="F54" i="13"/>
  <c r="E54" i="13"/>
  <c r="D54" i="13"/>
  <c r="C54" i="13"/>
  <c r="L53" i="13"/>
  <c r="K53" i="13"/>
  <c r="J53" i="13"/>
  <c r="I53" i="13"/>
  <c r="H53" i="13"/>
  <c r="G53" i="13"/>
  <c r="F53" i="13"/>
  <c r="E53" i="13"/>
  <c r="D53" i="13"/>
  <c r="C53" i="13"/>
  <c r="L52" i="13"/>
  <c r="K52" i="13"/>
  <c r="J52" i="13"/>
  <c r="I52" i="13"/>
  <c r="H52" i="13"/>
  <c r="G52" i="13"/>
  <c r="F52" i="13"/>
  <c r="E52" i="13"/>
  <c r="D52" i="13"/>
  <c r="C52" i="13"/>
  <c r="L51" i="13"/>
  <c r="K51" i="13"/>
  <c r="J51" i="13"/>
  <c r="I51" i="13"/>
  <c r="H51" i="13"/>
  <c r="G51" i="13"/>
  <c r="F51" i="13"/>
  <c r="E51" i="13"/>
  <c r="D51" i="13"/>
  <c r="C51" i="13"/>
  <c r="L50" i="13"/>
  <c r="K50" i="13"/>
  <c r="J50" i="13"/>
  <c r="I50" i="13"/>
  <c r="H50" i="13"/>
  <c r="G50" i="13"/>
  <c r="F50" i="13"/>
  <c r="E50" i="13"/>
  <c r="D50" i="13"/>
  <c r="C50" i="13"/>
  <c r="L49" i="13"/>
  <c r="K49" i="13"/>
  <c r="J49" i="13"/>
  <c r="I49" i="13"/>
  <c r="H49" i="13"/>
  <c r="G49" i="13"/>
  <c r="F49" i="13"/>
  <c r="E49" i="13"/>
  <c r="D49" i="13"/>
  <c r="C49" i="13"/>
  <c r="L48" i="13"/>
  <c r="K48" i="13"/>
  <c r="J48" i="13"/>
  <c r="I48" i="13"/>
  <c r="H48" i="13"/>
  <c r="G48" i="13"/>
  <c r="F48" i="13"/>
  <c r="E48" i="13"/>
  <c r="D48" i="13"/>
  <c r="C48" i="13"/>
  <c r="L47" i="13"/>
  <c r="K47" i="13"/>
  <c r="J47" i="13"/>
  <c r="I47" i="13"/>
  <c r="H47" i="13"/>
  <c r="G47" i="13"/>
  <c r="F47" i="13"/>
  <c r="E47" i="13"/>
  <c r="D47" i="13"/>
  <c r="C47" i="13"/>
  <c r="L46" i="13"/>
  <c r="K46" i="13"/>
  <c r="J46" i="13"/>
  <c r="I46" i="13"/>
  <c r="H46" i="13"/>
  <c r="G46" i="13"/>
  <c r="F46" i="13"/>
  <c r="E46" i="13"/>
  <c r="D46" i="13"/>
  <c r="C46" i="13"/>
  <c r="L44" i="13"/>
  <c r="K44" i="13"/>
  <c r="J44" i="13"/>
  <c r="I44" i="13"/>
  <c r="H44" i="13"/>
  <c r="G44" i="13"/>
  <c r="F44" i="13"/>
  <c r="E44" i="13"/>
  <c r="D44" i="13"/>
  <c r="C44" i="13"/>
  <c r="L43" i="13"/>
  <c r="K43" i="13"/>
  <c r="J43" i="13"/>
  <c r="I43" i="13"/>
  <c r="H43" i="13"/>
  <c r="G43" i="13"/>
  <c r="F43" i="13"/>
  <c r="E43" i="13"/>
  <c r="D43" i="13"/>
  <c r="C43" i="13"/>
  <c r="L42" i="13"/>
  <c r="K42" i="13"/>
  <c r="J42" i="13"/>
  <c r="I42" i="13"/>
  <c r="H42" i="13"/>
  <c r="G42" i="13"/>
  <c r="F42" i="13"/>
  <c r="E42" i="13"/>
  <c r="D42" i="13"/>
  <c r="C42" i="13"/>
  <c r="L41" i="13"/>
  <c r="K41" i="13"/>
  <c r="J41" i="13"/>
  <c r="I41" i="13"/>
  <c r="H41" i="13"/>
  <c r="G41" i="13"/>
  <c r="F41" i="13"/>
  <c r="E41" i="13"/>
  <c r="D41" i="13"/>
  <c r="C41" i="13"/>
  <c r="L40" i="13"/>
  <c r="K40" i="13"/>
  <c r="J40" i="13"/>
  <c r="I40" i="13"/>
  <c r="H40" i="13"/>
  <c r="G40" i="13"/>
  <c r="F40" i="13"/>
  <c r="E40" i="13"/>
  <c r="D40" i="13"/>
  <c r="C40" i="13"/>
  <c r="L39" i="13"/>
  <c r="K39" i="13"/>
  <c r="J39" i="13"/>
  <c r="I39" i="13"/>
  <c r="H39" i="13"/>
  <c r="G39" i="13"/>
  <c r="F39" i="13"/>
  <c r="E39" i="13"/>
  <c r="D39" i="13"/>
  <c r="C39" i="13"/>
  <c r="L38" i="13"/>
  <c r="K38" i="13"/>
  <c r="J38" i="13"/>
  <c r="I38" i="13"/>
  <c r="H38" i="13"/>
  <c r="G38" i="13"/>
  <c r="F38" i="13"/>
  <c r="E38" i="13"/>
  <c r="D38" i="13"/>
  <c r="C38" i="13"/>
  <c r="L37" i="13"/>
  <c r="K37" i="13"/>
  <c r="J37" i="13"/>
  <c r="I37" i="13"/>
  <c r="H37" i="13"/>
  <c r="G37" i="13"/>
  <c r="F37" i="13"/>
  <c r="E37" i="13"/>
  <c r="D37" i="13"/>
  <c r="C37" i="13"/>
  <c r="L36" i="13"/>
  <c r="K36" i="13"/>
  <c r="J36" i="13"/>
  <c r="I36" i="13"/>
  <c r="H36" i="13"/>
  <c r="G36" i="13"/>
  <c r="F36" i="13"/>
  <c r="E36" i="13"/>
  <c r="D36" i="13"/>
  <c r="C36" i="13"/>
  <c r="L34" i="13"/>
  <c r="K34" i="13"/>
  <c r="J34" i="13"/>
  <c r="I34" i="13"/>
  <c r="H34" i="13"/>
  <c r="G34" i="13"/>
  <c r="F34" i="13"/>
  <c r="E34" i="13"/>
  <c r="D34" i="13"/>
  <c r="C34" i="13"/>
  <c r="L33" i="13"/>
  <c r="K33" i="13"/>
  <c r="J33" i="13"/>
  <c r="I33" i="13"/>
  <c r="H33" i="13"/>
  <c r="G33" i="13"/>
  <c r="F33" i="13"/>
  <c r="E33" i="13"/>
  <c r="D33" i="13"/>
  <c r="C33" i="13"/>
  <c r="L32" i="13"/>
  <c r="K32" i="13"/>
  <c r="J32" i="13"/>
  <c r="I32" i="13"/>
  <c r="H32" i="13"/>
  <c r="G32" i="13"/>
  <c r="F32" i="13"/>
  <c r="E32" i="13"/>
  <c r="D32" i="13"/>
  <c r="C32" i="13"/>
  <c r="L31" i="13"/>
  <c r="K31" i="13"/>
  <c r="J31" i="13"/>
  <c r="I31" i="13"/>
  <c r="H31" i="13"/>
  <c r="G31" i="13"/>
  <c r="F31" i="13"/>
  <c r="E31" i="13"/>
  <c r="D31" i="13"/>
  <c r="C31" i="13"/>
  <c r="L30" i="13"/>
  <c r="K30" i="13"/>
  <c r="J30" i="13"/>
  <c r="I30" i="13"/>
  <c r="H30" i="13"/>
  <c r="G30" i="13"/>
  <c r="F30" i="13"/>
  <c r="E30" i="13"/>
  <c r="D30" i="13"/>
  <c r="C30" i="13"/>
  <c r="L29" i="13"/>
  <c r="K29" i="13"/>
  <c r="J29" i="13"/>
  <c r="I29" i="13"/>
  <c r="H29" i="13"/>
  <c r="G29" i="13"/>
  <c r="F29" i="13"/>
  <c r="E29" i="13"/>
  <c r="D29" i="13"/>
  <c r="C29" i="13"/>
  <c r="L28" i="13"/>
  <c r="K28" i="13"/>
  <c r="J28" i="13"/>
  <c r="I28" i="13"/>
  <c r="H28" i="13"/>
  <c r="G28" i="13"/>
  <c r="F28" i="13"/>
  <c r="E28" i="13"/>
  <c r="D28" i="13"/>
  <c r="C28" i="13"/>
  <c r="L27" i="13"/>
  <c r="K27" i="13"/>
  <c r="J27" i="13"/>
  <c r="I27" i="13"/>
  <c r="H27" i="13"/>
  <c r="G27" i="13"/>
  <c r="F27" i="13"/>
  <c r="E27" i="13"/>
  <c r="D27" i="13"/>
  <c r="C27" i="13"/>
  <c r="L25" i="13"/>
  <c r="K25" i="13"/>
  <c r="J25" i="13"/>
  <c r="I25" i="13"/>
  <c r="H25" i="13"/>
  <c r="G25" i="13"/>
  <c r="F25" i="13"/>
  <c r="E25" i="13"/>
  <c r="D25" i="13"/>
  <c r="C25" i="13"/>
  <c r="L24" i="13"/>
  <c r="K24" i="13"/>
  <c r="J24" i="13"/>
  <c r="I24" i="13"/>
  <c r="H24" i="13"/>
  <c r="G24" i="13"/>
  <c r="F24" i="13"/>
  <c r="E24" i="13"/>
  <c r="D24" i="13"/>
  <c r="C24" i="13"/>
  <c r="L22" i="13"/>
  <c r="K22" i="13"/>
  <c r="J22" i="13"/>
  <c r="I22" i="13"/>
  <c r="H22" i="13"/>
  <c r="G22" i="13"/>
  <c r="F22" i="13"/>
  <c r="E22" i="13"/>
  <c r="D22" i="13"/>
  <c r="C22" i="13"/>
  <c r="L21" i="13"/>
  <c r="K21" i="13"/>
  <c r="J21" i="13"/>
  <c r="I21" i="13"/>
  <c r="H21" i="13"/>
  <c r="G21" i="13"/>
  <c r="F21" i="13"/>
  <c r="E21" i="13"/>
  <c r="D21" i="13"/>
  <c r="C21" i="13"/>
  <c r="L20" i="13"/>
  <c r="K20" i="13"/>
  <c r="J20" i="13"/>
  <c r="I20" i="13"/>
  <c r="H20" i="13"/>
  <c r="G20" i="13"/>
  <c r="F20" i="13"/>
  <c r="E20" i="13"/>
  <c r="D20" i="13"/>
  <c r="C20" i="13"/>
  <c r="L19" i="13"/>
  <c r="K19" i="13"/>
  <c r="J19" i="13"/>
  <c r="I19" i="13"/>
  <c r="H19" i="13"/>
  <c r="G19" i="13"/>
  <c r="F19" i="13"/>
  <c r="E19" i="13"/>
  <c r="D19" i="13"/>
  <c r="C19" i="13"/>
  <c r="L18" i="13"/>
  <c r="K18" i="13"/>
  <c r="J18" i="13"/>
  <c r="I18" i="13"/>
  <c r="H18" i="13"/>
  <c r="G18" i="13"/>
  <c r="F18" i="13"/>
  <c r="E18" i="13"/>
  <c r="D18" i="13"/>
  <c r="C18" i="13"/>
  <c r="L17" i="13"/>
  <c r="K17" i="13"/>
  <c r="J17" i="13"/>
  <c r="I17" i="13"/>
  <c r="H17" i="13"/>
  <c r="G17" i="13"/>
  <c r="F17" i="13"/>
  <c r="E17" i="13"/>
  <c r="D17" i="13"/>
  <c r="C17" i="13"/>
  <c r="L16" i="13"/>
  <c r="K16" i="13"/>
  <c r="J16" i="13"/>
  <c r="I16" i="13"/>
  <c r="H16" i="13"/>
  <c r="G16" i="13"/>
  <c r="F16" i="13"/>
  <c r="E16" i="13"/>
  <c r="D16" i="13"/>
  <c r="C16" i="13"/>
  <c r="L15" i="13"/>
  <c r="K15" i="13"/>
  <c r="J15" i="13"/>
  <c r="I15" i="13"/>
  <c r="H15" i="13"/>
  <c r="G15" i="13"/>
  <c r="F15" i="13"/>
  <c r="E15" i="13"/>
  <c r="D15" i="13"/>
  <c r="C15" i="13"/>
  <c r="L14" i="13"/>
  <c r="K14" i="13"/>
  <c r="J14" i="13"/>
  <c r="I14" i="13"/>
  <c r="H14" i="13"/>
  <c r="G14" i="13"/>
  <c r="F14" i="13"/>
  <c r="E14" i="13"/>
  <c r="D14" i="13"/>
  <c r="C14" i="13"/>
  <c r="L13" i="13"/>
  <c r="K13" i="13"/>
  <c r="J13" i="13"/>
  <c r="I13" i="13"/>
  <c r="H13" i="13"/>
  <c r="G13" i="13"/>
  <c r="F13" i="13"/>
  <c r="E13" i="13"/>
  <c r="D13" i="13"/>
  <c r="C13" i="13"/>
  <c r="L12" i="13"/>
  <c r="K12" i="13"/>
  <c r="J12" i="13"/>
  <c r="I12" i="13"/>
  <c r="H12" i="13"/>
  <c r="G12" i="13"/>
  <c r="F12" i="13"/>
  <c r="E12" i="13"/>
  <c r="D12" i="13"/>
  <c r="C12" i="13"/>
  <c r="L10" i="13"/>
  <c r="K10" i="13"/>
  <c r="J10" i="13"/>
  <c r="I10" i="13"/>
  <c r="H10" i="13"/>
  <c r="G10" i="13"/>
  <c r="F10" i="13"/>
  <c r="E10" i="13"/>
  <c r="D10" i="13"/>
  <c r="C10" i="13"/>
  <c r="L9" i="13"/>
  <c r="K9" i="13"/>
  <c r="J9" i="13"/>
  <c r="I9" i="13"/>
  <c r="H9" i="13"/>
  <c r="G9" i="13"/>
  <c r="F9" i="13"/>
  <c r="E9" i="13"/>
  <c r="D9" i="13"/>
  <c r="C9" i="13"/>
  <c r="L8" i="13"/>
  <c r="K8" i="13"/>
  <c r="J8" i="13"/>
  <c r="I8" i="13"/>
  <c r="H8" i="13"/>
  <c r="G8" i="13"/>
  <c r="F8" i="13"/>
  <c r="E8" i="13"/>
  <c r="D8" i="13"/>
  <c r="C8" i="13"/>
  <c r="L7" i="13"/>
  <c r="K7" i="13"/>
  <c r="J7" i="13"/>
  <c r="I7" i="13"/>
  <c r="H7" i="13"/>
  <c r="G7" i="13"/>
  <c r="F7" i="13"/>
  <c r="E7" i="13"/>
  <c r="D7" i="13"/>
  <c r="C7" i="13"/>
  <c r="L6" i="13"/>
  <c r="K6" i="13"/>
  <c r="J6" i="13"/>
  <c r="I6" i="13"/>
  <c r="H6" i="13"/>
  <c r="G6" i="13"/>
  <c r="F6" i="13"/>
  <c r="E6" i="13"/>
  <c r="D6" i="13"/>
  <c r="C6" i="13"/>
  <c r="L5" i="13"/>
  <c r="K5" i="13"/>
  <c r="J5" i="13"/>
  <c r="I5" i="13"/>
  <c r="H5" i="13"/>
  <c r="G5" i="13"/>
  <c r="F5" i="13"/>
  <c r="E5" i="13"/>
  <c r="D5" i="13"/>
  <c r="C5" i="13"/>
  <c r="L4" i="13"/>
  <c r="K4" i="13"/>
  <c r="J4" i="13"/>
  <c r="I4" i="13"/>
  <c r="H4" i="13"/>
  <c r="G4" i="13"/>
  <c r="F4" i="13"/>
  <c r="E4" i="13"/>
  <c r="D4" i="13"/>
  <c r="C4" i="13"/>
  <c r="E107" i="12"/>
  <c r="E105" i="12"/>
  <c r="E104" i="12"/>
  <c r="E103" i="12"/>
  <c r="E102" i="12"/>
  <c r="E100" i="12"/>
  <c r="E99" i="12"/>
  <c r="E98" i="12"/>
  <c r="H94" i="12"/>
  <c r="E94" i="12"/>
  <c r="H93" i="12"/>
  <c r="E93" i="12"/>
  <c r="E95" i="12" s="1"/>
  <c r="H92" i="12"/>
  <c r="I92" i="12" s="1"/>
  <c r="H91" i="12"/>
  <c r="I91" i="12" s="1"/>
  <c r="H90" i="12"/>
  <c r="H89" i="12"/>
  <c r="E89" i="12"/>
  <c r="H88" i="12"/>
  <c r="I88" i="12" s="1"/>
  <c r="E88" i="12"/>
  <c r="I87" i="12"/>
  <c r="I95" i="12" s="1"/>
  <c r="I96" i="12" s="1"/>
  <c r="H87" i="12"/>
  <c r="E87" i="12"/>
  <c r="H86" i="12"/>
  <c r="E86" i="12"/>
  <c r="E85" i="12"/>
  <c r="E84" i="12"/>
  <c r="E83" i="12"/>
  <c r="E82" i="12"/>
  <c r="E81" i="12"/>
  <c r="E80" i="12"/>
  <c r="H79" i="12"/>
  <c r="E79" i="12"/>
  <c r="H78" i="12"/>
  <c r="I78" i="12" s="1"/>
  <c r="H77" i="12"/>
  <c r="I77" i="12" s="1"/>
  <c r="H76" i="12"/>
  <c r="I76" i="12" s="1"/>
  <c r="H75" i="12"/>
  <c r="I75" i="12" s="1"/>
  <c r="E75" i="12"/>
  <c r="H74" i="12"/>
  <c r="I74" i="12" s="1"/>
  <c r="E74" i="12"/>
  <c r="I73" i="12"/>
  <c r="H73" i="12"/>
  <c r="E73" i="12"/>
  <c r="H72" i="12"/>
  <c r="I72" i="12" s="1"/>
  <c r="E72" i="12"/>
  <c r="H71" i="12"/>
  <c r="I71" i="12" s="1"/>
  <c r="E71" i="12"/>
  <c r="H70" i="12"/>
  <c r="E70" i="12"/>
  <c r="H69" i="12"/>
  <c r="I69" i="12" s="1"/>
  <c r="E69" i="12"/>
  <c r="L59" i="12"/>
  <c r="K59" i="12"/>
  <c r="J59" i="12"/>
  <c r="I59" i="12"/>
  <c r="H59" i="12"/>
  <c r="G59" i="12"/>
  <c r="F59" i="12"/>
  <c r="E59" i="12"/>
  <c r="D59" i="12"/>
  <c r="C59" i="12"/>
  <c r="L58" i="12"/>
  <c r="K58" i="12"/>
  <c r="J58" i="12"/>
  <c r="I58" i="12"/>
  <c r="H58" i="12"/>
  <c r="G58" i="12"/>
  <c r="F58" i="12"/>
  <c r="E58" i="12"/>
  <c r="D58" i="12"/>
  <c r="C58" i="12"/>
  <c r="L56" i="12"/>
  <c r="K56" i="12"/>
  <c r="J56" i="12"/>
  <c r="I56" i="12"/>
  <c r="H56" i="12"/>
  <c r="G56" i="12"/>
  <c r="F56" i="12"/>
  <c r="E56" i="12"/>
  <c r="D56" i="12"/>
  <c r="C56" i="12"/>
  <c r="L55" i="12"/>
  <c r="K55" i="12"/>
  <c r="J55" i="12"/>
  <c r="I55" i="12"/>
  <c r="H55" i="12"/>
  <c r="G55" i="12"/>
  <c r="F55" i="12"/>
  <c r="E55" i="12"/>
  <c r="D55" i="12"/>
  <c r="C55" i="12"/>
  <c r="L54" i="12"/>
  <c r="K54" i="12"/>
  <c r="J54" i="12"/>
  <c r="I54" i="12"/>
  <c r="H54" i="12"/>
  <c r="G54" i="12"/>
  <c r="F54" i="12"/>
  <c r="E54" i="12"/>
  <c r="D54" i="12"/>
  <c r="C54" i="12"/>
  <c r="L53" i="12"/>
  <c r="K53" i="12"/>
  <c r="J53" i="12"/>
  <c r="I53" i="12"/>
  <c r="H53" i="12"/>
  <c r="G53" i="12"/>
  <c r="F53" i="12"/>
  <c r="E53" i="12"/>
  <c r="D53" i="12"/>
  <c r="C53" i="12"/>
  <c r="L52" i="12"/>
  <c r="K52" i="12"/>
  <c r="J52" i="12"/>
  <c r="I52" i="12"/>
  <c r="H52" i="12"/>
  <c r="G52" i="12"/>
  <c r="F52" i="12"/>
  <c r="E52" i="12"/>
  <c r="D52" i="12"/>
  <c r="C52" i="12"/>
  <c r="L51" i="12"/>
  <c r="K51" i="12"/>
  <c r="J51" i="12"/>
  <c r="I51" i="12"/>
  <c r="H51" i="12"/>
  <c r="G51" i="12"/>
  <c r="F51" i="12"/>
  <c r="E51" i="12"/>
  <c r="D51" i="12"/>
  <c r="C51" i="12"/>
  <c r="L50" i="12"/>
  <c r="K50" i="12"/>
  <c r="J50" i="12"/>
  <c r="I50" i="12"/>
  <c r="H50" i="12"/>
  <c r="G50" i="12"/>
  <c r="F50" i="12"/>
  <c r="E50" i="12"/>
  <c r="D50" i="12"/>
  <c r="C50" i="12"/>
  <c r="L49" i="12"/>
  <c r="K49" i="12"/>
  <c r="J49" i="12"/>
  <c r="I49" i="12"/>
  <c r="H49" i="12"/>
  <c r="G49" i="12"/>
  <c r="F49" i="12"/>
  <c r="E49" i="12"/>
  <c r="D49" i="12"/>
  <c r="C49" i="12"/>
  <c r="L48" i="12"/>
  <c r="K48" i="12"/>
  <c r="J48" i="12"/>
  <c r="I48" i="12"/>
  <c r="H48" i="12"/>
  <c r="G48" i="12"/>
  <c r="F48" i="12"/>
  <c r="E48" i="12"/>
  <c r="D48" i="12"/>
  <c r="C48" i="12"/>
  <c r="L47" i="12"/>
  <c r="K47" i="12"/>
  <c r="J47" i="12"/>
  <c r="I47" i="12"/>
  <c r="H47" i="12"/>
  <c r="G47" i="12"/>
  <c r="F47" i="12"/>
  <c r="E47" i="12"/>
  <c r="D47" i="12"/>
  <c r="C47" i="12"/>
  <c r="L46" i="12"/>
  <c r="K46" i="12"/>
  <c r="J46" i="12"/>
  <c r="I46" i="12"/>
  <c r="H46" i="12"/>
  <c r="G46" i="12"/>
  <c r="F46" i="12"/>
  <c r="E46" i="12"/>
  <c r="D46" i="12"/>
  <c r="C46" i="12"/>
  <c r="L44" i="12"/>
  <c r="K44" i="12"/>
  <c r="J44" i="12"/>
  <c r="I44" i="12"/>
  <c r="H44" i="12"/>
  <c r="G44" i="12"/>
  <c r="F44" i="12"/>
  <c r="E44" i="12"/>
  <c r="D44" i="12"/>
  <c r="C44" i="12"/>
  <c r="L43" i="12"/>
  <c r="K43" i="12"/>
  <c r="J43" i="12"/>
  <c r="I43" i="12"/>
  <c r="H43" i="12"/>
  <c r="G43" i="12"/>
  <c r="F43" i="12"/>
  <c r="E43" i="12"/>
  <c r="D43" i="12"/>
  <c r="C43" i="12"/>
  <c r="L42" i="12"/>
  <c r="K42" i="12"/>
  <c r="J42" i="12"/>
  <c r="I42" i="12"/>
  <c r="H42" i="12"/>
  <c r="G42" i="12"/>
  <c r="F42" i="12"/>
  <c r="E42" i="12"/>
  <c r="D42" i="12"/>
  <c r="C42" i="12"/>
  <c r="L41" i="12"/>
  <c r="K41" i="12"/>
  <c r="J41" i="12"/>
  <c r="I41" i="12"/>
  <c r="H41" i="12"/>
  <c r="G41" i="12"/>
  <c r="F41" i="12"/>
  <c r="E41" i="12"/>
  <c r="D41" i="12"/>
  <c r="C41" i="12"/>
  <c r="L40" i="12"/>
  <c r="K40" i="12"/>
  <c r="J40" i="12"/>
  <c r="I40" i="12"/>
  <c r="H40" i="12"/>
  <c r="G40" i="12"/>
  <c r="F40" i="12"/>
  <c r="E40" i="12"/>
  <c r="D40" i="12"/>
  <c r="C40" i="12"/>
  <c r="L39" i="12"/>
  <c r="K39" i="12"/>
  <c r="J39" i="12"/>
  <c r="I39" i="12"/>
  <c r="H39" i="12"/>
  <c r="G39" i="12"/>
  <c r="F39" i="12"/>
  <c r="E39" i="12"/>
  <c r="D39" i="12"/>
  <c r="C39" i="12"/>
  <c r="L38" i="12"/>
  <c r="K38" i="12"/>
  <c r="J38" i="12"/>
  <c r="I38" i="12"/>
  <c r="H38" i="12"/>
  <c r="G38" i="12"/>
  <c r="F38" i="12"/>
  <c r="E38" i="12"/>
  <c r="D38" i="12"/>
  <c r="C38" i="12"/>
  <c r="L37" i="12"/>
  <c r="K37" i="12"/>
  <c r="J37" i="12"/>
  <c r="I37" i="12"/>
  <c r="H37" i="12"/>
  <c r="G37" i="12"/>
  <c r="F37" i="12"/>
  <c r="E37" i="12"/>
  <c r="D37" i="12"/>
  <c r="C37" i="12"/>
  <c r="L36" i="12"/>
  <c r="K36" i="12"/>
  <c r="J36" i="12"/>
  <c r="I36" i="12"/>
  <c r="H36" i="12"/>
  <c r="G36" i="12"/>
  <c r="F36" i="12"/>
  <c r="E36" i="12"/>
  <c r="D36" i="12"/>
  <c r="C36" i="12"/>
  <c r="L34" i="12"/>
  <c r="K34" i="12"/>
  <c r="J34" i="12"/>
  <c r="I34" i="12"/>
  <c r="H34" i="12"/>
  <c r="G34" i="12"/>
  <c r="F34" i="12"/>
  <c r="E34" i="12"/>
  <c r="D34" i="12"/>
  <c r="C34" i="12"/>
  <c r="L33" i="12"/>
  <c r="K33" i="12"/>
  <c r="J33" i="12"/>
  <c r="I33" i="12"/>
  <c r="H33" i="12"/>
  <c r="G33" i="12"/>
  <c r="F33" i="12"/>
  <c r="E33" i="12"/>
  <c r="D33" i="12"/>
  <c r="C33" i="12"/>
  <c r="L32" i="12"/>
  <c r="K32" i="12"/>
  <c r="J32" i="12"/>
  <c r="I32" i="12"/>
  <c r="H32" i="12"/>
  <c r="G32" i="12"/>
  <c r="F32" i="12"/>
  <c r="E32" i="12"/>
  <c r="D32" i="12"/>
  <c r="C32" i="12"/>
  <c r="L31" i="12"/>
  <c r="K31" i="12"/>
  <c r="J31" i="12"/>
  <c r="I31" i="12"/>
  <c r="H31" i="12"/>
  <c r="G31" i="12"/>
  <c r="F31" i="12"/>
  <c r="E31" i="12"/>
  <c r="D31" i="12"/>
  <c r="C31" i="12"/>
  <c r="L30" i="12"/>
  <c r="K30" i="12"/>
  <c r="J30" i="12"/>
  <c r="I30" i="12"/>
  <c r="H30" i="12"/>
  <c r="G30" i="12"/>
  <c r="F30" i="12"/>
  <c r="E30" i="12"/>
  <c r="D30" i="12"/>
  <c r="C30" i="12"/>
  <c r="L29" i="12"/>
  <c r="K29" i="12"/>
  <c r="J29" i="12"/>
  <c r="I29" i="12"/>
  <c r="H29" i="12"/>
  <c r="G29" i="12"/>
  <c r="F29" i="12"/>
  <c r="E29" i="12"/>
  <c r="D29" i="12"/>
  <c r="C29" i="12"/>
  <c r="L28" i="12"/>
  <c r="K28" i="12"/>
  <c r="J28" i="12"/>
  <c r="I28" i="12"/>
  <c r="H28" i="12"/>
  <c r="G28" i="12"/>
  <c r="F28" i="12"/>
  <c r="E28" i="12"/>
  <c r="D28" i="12"/>
  <c r="C28" i="12"/>
  <c r="L27" i="12"/>
  <c r="K27" i="12"/>
  <c r="J27" i="12"/>
  <c r="I27" i="12"/>
  <c r="H27" i="12"/>
  <c r="G27" i="12"/>
  <c r="F27" i="12"/>
  <c r="E27" i="12"/>
  <c r="D27" i="12"/>
  <c r="C27" i="12"/>
  <c r="L25" i="12"/>
  <c r="K25" i="12"/>
  <c r="J25" i="12"/>
  <c r="I25" i="12"/>
  <c r="H25" i="12"/>
  <c r="G25" i="12"/>
  <c r="F25" i="12"/>
  <c r="E25" i="12"/>
  <c r="D25" i="12"/>
  <c r="C25" i="12"/>
  <c r="L24" i="12"/>
  <c r="K24" i="12"/>
  <c r="J24" i="12"/>
  <c r="I24" i="12"/>
  <c r="H24" i="12"/>
  <c r="G24" i="12"/>
  <c r="F24" i="12"/>
  <c r="E24" i="12"/>
  <c r="D24" i="12"/>
  <c r="C24" i="12"/>
  <c r="L22" i="12"/>
  <c r="K22" i="12"/>
  <c r="J22" i="12"/>
  <c r="I22" i="12"/>
  <c r="H22" i="12"/>
  <c r="G22" i="12"/>
  <c r="F22" i="12"/>
  <c r="E22" i="12"/>
  <c r="D22" i="12"/>
  <c r="C22" i="12"/>
  <c r="L21" i="12"/>
  <c r="K21" i="12"/>
  <c r="J21" i="12"/>
  <c r="I21" i="12"/>
  <c r="H21" i="12"/>
  <c r="G21" i="12"/>
  <c r="F21" i="12"/>
  <c r="E21" i="12"/>
  <c r="D21" i="12"/>
  <c r="C21" i="12"/>
  <c r="L20" i="12"/>
  <c r="K20" i="12"/>
  <c r="J20" i="12"/>
  <c r="I20" i="12"/>
  <c r="H20" i="12"/>
  <c r="G20" i="12"/>
  <c r="F20" i="12"/>
  <c r="E20" i="12"/>
  <c r="D20" i="12"/>
  <c r="C20" i="12"/>
  <c r="L19" i="12"/>
  <c r="K19" i="12"/>
  <c r="J19" i="12"/>
  <c r="I19" i="12"/>
  <c r="H19" i="12"/>
  <c r="G19" i="12"/>
  <c r="F19" i="12"/>
  <c r="E19" i="12"/>
  <c r="D19" i="12"/>
  <c r="C19" i="12"/>
  <c r="L18" i="12"/>
  <c r="K18" i="12"/>
  <c r="J18" i="12"/>
  <c r="I18" i="12"/>
  <c r="H18" i="12"/>
  <c r="G18" i="12"/>
  <c r="F18" i="12"/>
  <c r="E18" i="12"/>
  <c r="D18" i="12"/>
  <c r="C18" i="12"/>
  <c r="L17" i="12"/>
  <c r="K17" i="12"/>
  <c r="J17" i="12"/>
  <c r="I17" i="12"/>
  <c r="H17" i="12"/>
  <c r="G17" i="12"/>
  <c r="F17" i="12"/>
  <c r="E17" i="12"/>
  <c r="D17" i="12"/>
  <c r="C17" i="12"/>
  <c r="L16" i="12"/>
  <c r="K16" i="12"/>
  <c r="J16" i="12"/>
  <c r="I16" i="12"/>
  <c r="H16" i="12"/>
  <c r="G16" i="12"/>
  <c r="F16" i="12"/>
  <c r="E16" i="12"/>
  <c r="D16" i="12"/>
  <c r="C16" i="12"/>
  <c r="L15" i="12"/>
  <c r="K15" i="12"/>
  <c r="J15" i="12"/>
  <c r="I15" i="12"/>
  <c r="H15" i="12"/>
  <c r="G15" i="12"/>
  <c r="F15" i="12"/>
  <c r="E15" i="12"/>
  <c r="D15" i="12"/>
  <c r="C15" i="12"/>
  <c r="L14" i="12"/>
  <c r="K14" i="12"/>
  <c r="J14" i="12"/>
  <c r="I14" i="12"/>
  <c r="H14" i="12"/>
  <c r="G14" i="12"/>
  <c r="F14" i="12"/>
  <c r="E14" i="12"/>
  <c r="D14" i="12"/>
  <c r="C14" i="12"/>
  <c r="L13" i="12"/>
  <c r="K13" i="12"/>
  <c r="J13" i="12"/>
  <c r="I13" i="12"/>
  <c r="H13" i="12"/>
  <c r="G13" i="12"/>
  <c r="F13" i="12"/>
  <c r="E13" i="12"/>
  <c r="D13" i="12"/>
  <c r="C13" i="12"/>
  <c r="L12" i="12"/>
  <c r="K12" i="12"/>
  <c r="J12" i="12"/>
  <c r="I12" i="12"/>
  <c r="H12" i="12"/>
  <c r="G12" i="12"/>
  <c r="F12" i="12"/>
  <c r="E12" i="12"/>
  <c r="D12" i="12"/>
  <c r="C12" i="12"/>
  <c r="L10" i="12"/>
  <c r="K10" i="12"/>
  <c r="J10" i="12"/>
  <c r="I10" i="12"/>
  <c r="H10" i="12"/>
  <c r="G10" i="12"/>
  <c r="F10" i="12"/>
  <c r="E10" i="12"/>
  <c r="D10" i="12"/>
  <c r="C10" i="12"/>
  <c r="L9" i="12"/>
  <c r="K9" i="12"/>
  <c r="J9" i="12"/>
  <c r="I9" i="12"/>
  <c r="H9" i="12"/>
  <c r="G9" i="12"/>
  <c r="F9" i="12"/>
  <c r="E9" i="12"/>
  <c r="D9" i="12"/>
  <c r="C9" i="12"/>
  <c r="L8" i="12"/>
  <c r="K8" i="12"/>
  <c r="J8" i="12"/>
  <c r="I8" i="12"/>
  <c r="H8" i="12"/>
  <c r="G8" i="12"/>
  <c r="F8" i="12"/>
  <c r="E8" i="12"/>
  <c r="D8" i="12"/>
  <c r="C8" i="12"/>
  <c r="L7" i="12"/>
  <c r="K7" i="12"/>
  <c r="J7" i="12"/>
  <c r="I7" i="12"/>
  <c r="H7" i="12"/>
  <c r="G7" i="12"/>
  <c r="F7" i="12"/>
  <c r="E7" i="12"/>
  <c r="D7" i="12"/>
  <c r="C7" i="12"/>
  <c r="L6" i="12"/>
  <c r="K6" i="12"/>
  <c r="J6" i="12"/>
  <c r="I6" i="12"/>
  <c r="H6" i="12"/>
  <c r="G6" i="12"/>
  <c r="F6" i="12"/>
  <c r="E6" i="12"/>
  <c r="D6" i="12"/>
  <c r="C6" i="12"/>
  <c r="L5" i="12"/>
  <c r="K5" i="12"/>
  <c r="J5" i="12"/>
  <c r="I5" i="12"/>
  <c r="H5" i="12"/>
  <c r="G5" i="12"/>
  <c r="F5" i="12"/>
  <c r="E5" i="12"/>
  <c r="D5" i="12"/>
  <c r="C5" i="12"/>
  <c r="L4" i="12"/>
  <c r="K4" i="12"/>
  <c r="J4" i="12"/>
  <c r="I4" i="12"/>
  <c r="H4" i="12"/>
  <c r="G4" i="12"/>
  <c r="F4" i="12"/>
  <c r="E4" i="12"/>
  <c r="D4" i="12"/>
  <c r="C4" i="12"/>
  <c r="E107" i="11"/>
  <c r="E105" i="11"/>
  <c r="E104" i="11"/>
  <c r="E103" i="11"/>
  <c r="E102" i="11"/>
  <c r="E100" i="11"/>
  <c r="E99" i="11"/>
  <c r="E98" i="11"/>
  <c r="H94" i="11"/>
  <c r="E94" i="11"/>
  <c r="H93" i="11"/>
  <c r="E93" i="11"/>
  <c r="E95" i="11" s="1"/>
  <c r="H92" i="11"/>
  <c r="I92" i="11" s="1"/>
  <c r="H91" i="11"/>
  <c r="I91" i="11" s="1"/>
  <c r="H90" i="11"/>
  <c r="H89" i="11"/>
  <c r="E89" i="11"/>
  <c r="H88" i="11"/>
  <c r="I88" i="11" s="1"/>
  <c r="E88" i="11"/>
  <c r="H87" i="11"/>
  <c r="I87" i="11" s="1"/>
  <c r="E87" i="11"/>
  <c r="H86" i="11"/>
  <c r="E86" i="11"/>
  <c r="E85" i="11"/>
  <c r="E84" i="11"/>
  <c r="E83" i="11"/>
  <c r="E82" i="11"/>
  <c r="E81" i="11"/>
  <c r="E80" i="11"/>
  <c r="H79" i="11"/>
  <c r="E79" i="11"/>
  <c r="H78" i="11"/>
  <c r="I78" i="11" s="1"/>
  <c r="H77" i="11"/>
  <c r="I77" i="11" s="1"/>
  <c r="H76" i="11"/>
  <c r="I76" i="11" s="1"/>
  <c r="H75" i="11"/>
  <c r="I75" i="11" s="1"/>
  <c r="E75" i="11"/>
  <c r="H74" i="11"/>
  <c r="I74" i="11" s="1"/>
  <c r="E74" i="11"/>
  <c r="H73" i="11"/>
  <c r="I73" i="11" s="1"/>
  <c r="E73" i="11"/>
  <c r="H72" i="11"/>
  <c r="I72" i="11" s="1"/>
  <c r="E72" i="11"/>
  <c r="H71" i="11"/>
  <c r="I71" i="11" s="1"/>
  <c r="E71" i="11"/>
  <c r="H70" i="11"/>
  <c r="I70" i="11" s="1"/>
  <c r="E70" i="11"/>
  <c r="H69" i="11"/>
  <c r="E69" i="11"/>
  <c r="L59" i="11"/>
  <c r="K59" i="11"/>
  <c r="J59" i="11"/>
  <c r="I59" i="11"/>
  <c r="H59" i="11"/>
  <c r="G59" i="11"/>
  <c r="F59" i="11"/>
  <c r="E59" i="11"/>
  <c r="D59" i="11"/>
  <c r="C59" i="11"/>
  <c r="L58" i="11"/>
  <c r="K58" i="11"/>
  <c r="J58" i="11"/>
  <c r="I58" i="11"/>
  <c r="H58" i="11"/>
  <c r="G58" i="11"/>
  <c r="F58" i="11"/>
  <c r="E58" i="11"/>
  <c r="D58" i="11"/>
  <c r="C58" i="11"/>
  <c r="L56" i="11"/>
  <c r="K56" i="11"/>
  <c r="J56" i="11"/>
  <c r="I56" i="11"/>
  <c r="H56" i="11"/>
  <c r="G56" i="11"/>
  <c r="F56" i="11"/>
  <c r="E56" i="11"/>
  <c r="D56" i="11"/>
  <c r="C56" i="11"/>
  <c r="L55" i="11"/>
  <c r="K55" i="11"/>
  <c r="J55" i="11"/>
  <c r="I55" i="11"/>
  <c r="H55" i="11"/>
  <c r="G55" i="11"/>
  <c r="F55" i="11"/>
  <c r="E55" i="11"/>
  <c r="D55" i="11"/>
  <c r="C55" i="11"/>
  <c r="L54" i="11"/>
  <c r="K54" i="11"/>
  <c r="J54" i="11"/>
  <c r="I54" i="11"/>
  <c r="H54" i="11"/>
  <c r="G54" i="11"/>
  <c r="F54" i="11"/>
  <c r="E54" i="11"/>
  <c r="D54" i="11"/>
  <c r="C54" i="11"/>
  <c r="L53" i="11"/>
  <c r="K53" i="11"/>
  <c r="J53" i="11"/>
  <c r="I53" i="11"/>
  <c r="H53" i="11"/>
  <c r="G53" i="11"/>
  <c r="F53" i="11"/>
  <c r="E53" i="11"/>
  <c r="D53" i="11"/>
  <c r="C53" i="11"/>
  <c r="L52" i="11"/>
  <c r="K52" i="11"/>
  <c r="J52" i="11"/>
  <c r="I52" i="11"/>
  <c r="H52" i="11"/>
  <c r="G52" i="11"/>
  <c r="F52" i="11"/>
  <c r="E52" i="11"/>
  <c r="D52" i="11"/>
  <c r="C52" i="11"/>
  <c r="L51" i="11"/>
  <c r="K51" i="11"/>
  <c r="J51" i="11"/>
  <c r="I51" i="11"/>
  <c r="H51" i="11"/>
  <c r="G51" i="11"/>
  <c r="F51" i="11"/>
  <c r="E51" i="11"/>
  <c r="D51" i="11"/>
  <c r="C51" i="11"/>
  <c r="L50" i="11"/>
  <c r="K50" i="11"/>
  <c r="J50" i="11"/>
  <c r="I50" i="11"/>
  <c r="H50" i="11"/>
  <c r="G50" i="11"/>
  <c r="F50" i="11"/>
  <c r="E50" i="11"/>
  <c r="D50" i="11"/>
  <c r="C50" i="11"/>
  <c r="L49" i="11"/>
  <c r="K49" i="11"/>
  <c r="J49" i="11"/>
  <c r="I49" i="11"/>
  <c r="H49" i="11"/>
  <c r="G49" i="11"/>
  <c r="F49" i="11"/>
  <c r="E49" i="11"/>
  <c r="D49" i="11"/>
  <c r="C49" i="11"/>
  <c r="L48" i="11"/>
  <c r="K48" i="11"/>
  <c r="J48" i="11"/>
  <c r="I48" i="11"/>
  <c r="H48" i="11"/>
  <c r="G48" i="11"/>
  <c r="F48" i="11"/>
  <c r="E48" i="11"/>
  <c r="D48" i="11"/>
  <c r="C48" i="11"/>
  <c r="L47" i="11"/>
  <c r="K47" i="11"/>
  <c r="J47" i="11"/>
  <c r="I47" i="11"/>
  <c r="H47" i="11"/>
  <c r="G47" i="11"/>
  <c r="F47" i="11"/>
  <c r="E47" i="11"/>
  <c r="D47" i="11"/>
  <c r="C47" i="11"/>
  <c r="L46" i="11"/>
  <c r="K46" i="11"/>
  <c r="J46" i="11"/>
  <c r="I46" i="11"/>
  <c r="H46" i="11"/>
  <c r="G46" i="11"/>
  <c r="F46" i="11"/>
  <c r="E46" i="11"/>
  <c r="D46" i="11"/>
  <c r="C46" i="11"/>
  <c r="L44" i="11"/>
  <c r="K44" i="11"/>
  <c r="J44" i="11"/>
  <c r="I44" i="11"/>
  <c r="H44" i="11"/>
  <c r="G44" i="11"/>
  <c r="F44" i="11"/>
  <c r="E44" i="11"/>
  <c r="D44" i="11"/>
  <c r="C44" i="11"/>
  <c r="L43" i="11"/>
  <c r="K43" i="11"/>
  <c r="J43" i="11"/>
  <c r="I43" i="11"/>
  <c r="H43" i="11"/>
  <c r="G43" i="11"/>
  <c r="F43" i="11"/>
  <c r="E43" i="11"/>
  <c r="D43" i="11"/>
  <c r="C43" i="11"/>
  <c r="L42" i="11"/>
  <c r="K42" i="11"/>
  <c r="J42" i="11"/>
  <c r="I42" i="11"/>
  <c r="H42" i="11"/>
  <c r="G42" i="11"/>
  <c r="F42" i="11"/>
  <c r="E42" i="11"/>
  <c r="D42" i="11"/>
  <c r="C42" i="11"/>
  <c r="L41" i="11"/>
  <c r="K41" i="11"/>
  <c r="J41" i="11"/>
  <c r="I41" i="11"/>
  <c r="H41" i="11"/>
  <c r="G41" i="11"/>
  <c r="F41" i="11"/>
  <c r="E41" i="11"/>
  <c r="D41" i="11"/>
  <c r="C41" i="11"/>
  <c r="L40" i="11"/>
  <c r="K40" i="11"/>
  <c r="J40" i="11"/>
  <c r="I40" i="11"/>
  <c r="H40" i="11"/>
  <c r="G40" i="11"/>
  <c r="F40" i="11"/>
  <c r="E40" i="11"/>
  <c r="D40" i="11"/>
  <c r="C40" i="11"/>
  <c r="L39" i="11"/>
  <c r="K39" i="11"/>
  <c r="J39" i="11"/>
  <c r="I39" i="11"/>
  <c r="H39" i="11"/>
  <c r="G39" i="11"/>
  <c r="F39" i="11"/>
  <c r="E39" i="11"/>
  <c r="D39" i="11"/>
  <c r="C39" i="11"/>
  <c r="L38" i="11"/>
  <c r="K38" i="11"/>
  <c r="J38" i="11"/>
  <c r="I38" i="11"/>
  <c r="H38" i="11"/>
  <c r="G38" i="11"/>
  <c r="F38" i="11"/>
  <c r="E38" i="11"/>
  <c r="D38" i="11"/>
  <c r="C38" i="11"/>
  <c r="L37" i="11"/>
  <c r="K37" i="11"/>
  <c r="J37" i="11"/>
  <c r="I37" i="11"/>
  <c r="H37" i="11"/>
  <c r="G37" i="11"/>
  <c r="F37" i="11"/>
  <c r="E37" i="11"/>
  <c r="D37" i="11"/>
  <c r="C37" i="11"/>
  <c r="L36" i="11"/>
  <c r="K36" i="11"/>
  <c r="J36" i="11"/>
  <c r="I36" i="11"/>
  <c r="H36" i="11"/>
  <c r="G36" i="11"/>
  <c r="F36" i="11"/>
  <c r="E36" i="11"/>
  <c r="D36" i="11"/>
  <c r="C36" i="11"/>
  <c r="L34" i="11"/>
  <c r="K34" i="11"/>
  <c r="J34" i="11"/>
  <c r="I34" i="11"/>
  <c r="H34" i="11"/>
  <c r="G34" i="11"/>
  <c r="F34" i="11"/>
  <c r="E34" i="11"/>
  <c r="D34" i="11"/>
  <c r="C34" i="11"/>
  <c r="L33" i="11"/>
  <c r="K33" i="11"/>
  <c r="J33" i="11"/>
  <c r="I33" i="11"/>
  <c r="H33" i="11"/>
  <c r="G33" i="11"/>
  <c r="F33" i="11"/>
  <c r="E33" i="11"/>
  <c r="D33" i="11"/>
  <c r="C33" i="11"/>
  <c r="L32" i="11"/>
  <c r="K32" i="11"/>
  <c r="J32" i="11"/>
  <c r="I32" i="11"/>
  <c r="H32" i="11"/>
  <c r="G32" i="11"/>
  <c r="F32" i="11"/>
  <c r="E32" i="11"/>
  <c r="D32" i="11"/>
  <c r="C32" i="11"/>
  <c r="L31" i="11"/>
  <c r="K31" i="11"/>
  <c r="J31" i="11"/>
  <c r="I31" i="11"/>
  <c r="H31" i="11"/>
  <c r="G31" i="11"/>
  <c r="F31" i="11"/>
  <c r="E31" i="11"/>
  <c r="D31" i="11"/>
  <c r="C31" i="11"/>
  <c r="L30" i="11"/>
  <c r="K30" i="11"/>
  <c r="J30" i="11"/>
  <c r="I30" i="11"/>
  <c r="H30" i="11"/>
  <c r="G30" i="11"/>
  <c r="F30" i="11"/>
  <c r="E30" i="11"/>
  <c r="D30" i="11"/>
  <c r="C30" i="11"/>
  <c r="L29" i="11"/>
  <c r="K29" i="11"/>
  <c r="J29" i="11"/>
  <c r="I29" i="11"/>
  <c r="H29" i="11"/>
  <c r="G29" i="11"/>
  <c r="F29" i="11"/>
  <c r="E29" i="11"/>
  <c r="D29" i="11"/>
  <c r="C29" i="11"/>
  <c r="L28" i="11"/>
  <c r="K28" i="11"/>
  <c r="J28" i="11"/>
  <c r="I28" i="11"/>
  <c r="H28" i="11"/>
  <c r="G28" i="11"/>
  <c r="F28" i="11"/>
  <c r="E28" i="11"/>
  <c r="D28" i="11"/>
  <c r="C28" i="11"/>
  <c r="L27" i="11"/>
  <c r="K27" i="11"/>
  <c r="J27" i="11"/>
  <c r="I27" i="11"/>
  <c r="H27" i="11"/>
  <c r="G27" i="11"/>
  <c r="F27" i="11"/>
  <c r="E27" i="11"/>
  <c r="D27" i="11"/>
  <c r="C27" i="11"/>
  <c r="L25" i="11"/>
  <c r="K25" i="11"/>
  <c r="J25" i="11"/>
  <c r="I25" i="11"/>
  <c r="H25" i="11"/>
  <c r="G25" i="11"/>
  <c r="F25" i="11"/>
  <c r="E25" i="11"/>
  <c r="D25" i="11"/>
  <c r="C25" i="11"/>
  <c r="L24" i="11"/>
  <c r="K24" i="11"/>
  <c r="J24" i="11"/>
  <c r="I24" i="11"/>
  <c r="H24" i="11"/>
  <c r="G24" i="11"/>
  <c r="F24" i="11"/>
  <c r="E24" i="11"/>
  <c r="D24" i="11"/>
  <c r="C24" i="11"/>
  <c r="L22" i="11"/>
  <c r="K22" i="11"/>
  <c r="J22" i="11"/>
  <c r="I22" i="11"/>
  <c r="H22" i="11"/>
  <c r="G22" i="11"/>
  <c r="F22" i="11"/>
  <c r="E22" i="11"/>
  <c r="D22" i="11"/>
  <c r="C22" i="11"/>
  <c r="L21" i="11"/>
  <c r="K21" i="11"/>
  <c r="J21" i="11"/>
  <c r="I21" i="11"/>
  <c r="H21" i="11"/>
  <c r="G21" i="11"/>
  <c r="F21" i="11"/>
  <c r="E21" i="11"/>
  <c r="D21" i="11"/>
  <c r="C21" i="11"/>
  <c r="L20" i="11"/>
  <c r="K20" i="11"/>
  <c r="J20" i="11"/>
  <c r="I20" i="11"/>
  <c r="H20" i="11"/>
  <c r="G20" i="11"/>
  <c r="F20" i="11"/>
  <c r="E20" i="11"/>
  <c r="D20" i="11"/>
  <c r="C20" i="11"/>
  <c r="L19" i="11"/>
  <c r="K19" i="11"/>
  <c r="J19" i="11"/>
  <c r="I19" i="11"/>
  <c r="H19" i="11"/>
  <c r="G19" i="11"/>
  <c r="F19" i="11"/>
  <c r="E19" i="11"/>
  <c r="D19" i="11"/>
  <c r="C19" i="11"/>
  <c r="L18" i="11"/>
  <c r="K18" i="11"/>
  <c r="J18" i="11"/>
  <c r="I18" i="11"/>
  <c r="H18" i="11"/>
  <c r="G18" i="11"/>
  <c r="F18" i="11"/>
  <c r="E18" i="11"/>
  <c r="D18" i="11"/>
  <c r="C18" i="11"/>
  <c r="L17" i="11"/>
  <c r="K17" i="11"/>
  <c r="J17" i="11"/>
  <c r="I17" i="11"/>
  <c r="H17" i="11"/>
  <c r="G17" i="11"/>
  <c r="F17" i="11"/>
  <c r="E17" i="11"/>
  <c r="D17" i="11"/>
  <c r="C17" i="11"/>
  <c r="L16" i="11"/>
  <c r="K16" i="11"/>
  <c r="J16" i="11"/>
  <c r="I16" i="11"/>
  <c r="H16" i="11"/>
  <c r="G16" i="11"/>
  <c r="F16" i="11"/>
  <c r="E16" i="11"/>
  <c r="D16" i="11"/>
  <c r="C16" i="11"/>
  <c r="L15" i="11"/>
  <c r="K15" i="11"/>
  <c r="J15" i="11"/>
  <c r="I15" i="11"/>
  <c r="H15" i="11"/>
  <c r="G15" i="11"/>
  <c r="F15" i="11"/>
  <c r="E15" i="11"/>
  <c r="D15" i="11"/>
  <c r="C15" i="11"/>
  <c r="L14" i="11"/>
  <c r="K14" i="11"/>
  <c r="J14" i="11"/>
  <c r="I14" i="11"/>
  <c r="H14" i="11"/>
  <c r="G14" i="11"/>
  <c r="F14" i="11"/>
  <c r="E14" i="11"/>
  <c r="D14" i="11"/>
  <c r="C14" i="11"/>
  <c r="L13" i="11"/>
  <c r="K13" i="11"/>
  <c r="J13" i="11"/>
  <c r="I13" i="11"/>
  <c r="H13" i="11"/>
  <c r="G13" i="11"/>
  <c r="F13" i="11"/>
  <c r="E13" i="11"/>
  <c r="D13" i="11"/>
  <c r="C13" i="11"/>
  <c r="L12" i="11"/>
  <c r="K12" i="11"/>
  <c r="J12" i="11"/>
  <c r="I12" i="11"/>
  <c r="H12" i="11"/>
  <c r="G12" i="11"/>
  <c r="F12" i="11"/>
  <c r="E12" i="11"/>
  <c r="D12" i="11"/>
  <c r="C12" i="11"/>
  <c r="L10" i="11"/>
  <c r="K10" i="11"/>
  <c r="J10" i="11"/>
  <c r="I10" i="11"/>
  <c r="H10" i="11"/>
  <c r="G10" i="11"/>
  <c r="F10" i="11"/>
  <c r="E10" i="11"/>
  <c r="D10" i="11"/>
  <c r="C10" i="11"/>
  <c r="L9" i="11"/>
  <c r="K9" i="11"/>
  <c r="J9" i="11"/>
  <c r="I9" i="11"/>
  <c r="H9" i="11"/>
  <c r="G9" i="11"/>
  <c r="F9" i="11"/>
  <c r="E9" i="11"/>
  <c r="D9" i="11"/>
  <c r="C9" i="11"/>
  <c r="L8" i="11"/>
  <c r="K8" i="11"/>
  <c r="J8" i="11"/>
  <c r="I8" i="11"/>
  <c r="H8" i="11"/>
  <c r="G8" i="11"/>
  <c r="F8" i="11"/>
  <c r="E8" i="11"/>
  <c r="D8" i="11"/>
  <c r="C8" i="11"/>
  <c r="L7" i="11"/>
  <c r="K7" i="11"/>
  <c r="J7" i="11"/>
  <c r="I7" i="11"/>
  <c r="H7" i="11"/>
  <c r="G7" i="11"/>
  <c r="F7" i="11"/>
  <c r="E7" i="11"/>
  <c r="D7" i="11"/>
  <c r="C7" i="11"/>
  <c r="L6" i="11"/>
  <c r="K6" i="11"/>
  <c r="J6" i="11"/>
  <c r="I6" i="11"/>
  <c r="H6" i="11"/>
  <c r="G6" i="11"/>
  <c r="F6" i="11"/>
  <c r="E6" i="11"/>
  <c r="D6" i="11"/>
  <c r="C6" i="11"/>
  <c r="L5" i="11"/>
  <c r="K5" i="11"/>
  <c r="J5" i="11"/>
  <c r="I5" i="11"/>
  <c r="H5" i="11"/>
  <c r="G5" i="11"/>
  <c r="F5" i="11"/>
  <c r="E5" i="11"/>
  <c r="D5" i="11"/>
  <c r="C5" i="11"/>
  <c r="L4" i="11"/>
  <c r="K4" i="11"/>
  <c r="J4" i="11"/>
  <c r="I4" i="11"/>
  <c r="H4" i="11"/>
  <c r="G4" i="11"/>
  <c r="F4" i="11"/>
  <c r="E4" i="11"/>
  <c r="D4" i="11"/>
  <c r="C4" i="11"/>
  <c r="I95" i="13" l="1"/>
  <c r="I96" i="13" s="1"/>
  <c r="E90" i="12"/>
  <c r="I69" i="13"/>
  <c r="I80" i="12"/>
  <c r="I81" i="12" s="1"/>
  <c r="E108" i="12"/>
  <c r="E76" i="13"/>
  <c r="E110" i="13" s="1"/>
  <c r="E111" i="13" s="1"/>
  <c r="H103" i="13" s="1"/>
  <c r="E90" i="13"/>
  <c r="E76" i="12"/>
  <c r="H103" i="14"/>
  <c r="I80" i="11"/>
  <c r="I81" i="11" s="1"/>
  <c r="E108" i="11"/>
  <c r="E90" i="11"/>
  <c r="E76" i="11"/>
  <c r="I70" i="12"/>
  <c r="I95" i="11"/>
  <c r="I96" i="11" s="1"/>
  <c r="I69" i="11"/>
  <c r="E107" i="8"/>
  <c r="E105" i="8"/>
  <c r="E104" i="8"/>
  <c r="E103" i="8"/>
  <c r="E102" i="8"/>
  <c r="E100" i="8"/>
  <c r="E99" i="8"/>
  <c r="E98" i="8"/>
  <c r="E94" i="8"/>
  <c r="E93" i="8"/>
  <c r="E89" i="8"/>
  <c r="E88" i="8"/>
  <c r="E87" i="8"/>
  <c r="E86" i="8"/>
  <c r="E85" i="8"/>
  <c r="E84" i="8"/>
  <c r="E83" i="8"/>
  <c r="E82" i="8"/>
  <c r="E81" i="8"/>
  <c r="E80" i="8"/>
  <c r="E79" i="8"/>
  <c r="H94" i="8"/>
  <c r="H93" i="8"/>
  <c r="H92" i="8"/>
  <c r="I92" i="8" s="1"/>
  <c r="H91" i="8"/>
  <c r="I91" i="8" s="1"/>
  <c r="H90" i="8"/>
  <c r="H89" i="8"/>
  <c r="H88" i="8"/>
  <c r="I88" i="8" s="1"/>
  <c r="H87" i="8"/>
  <c r="I87" i="8" s="1"/>
  <c r="H86" i="8"/>
  <c r="H79" i="8"/>
  <c r="H78" i="8"/>
  <c r="I78" i="8" s="1"/>
  <c r="H77" i="8"/>
  <c r="I77" i="8" s="1"/>
  <c r="H76" i="8"/>
  <c r="I76" i="8" s="1"/>
  <c r="H75" i="8"/>
  <c r="I75" i="8" s="1"/>
  <c r="E75" i="8"/>
  <c r="H74" i="8"/>
  <c r="I74" i="8" s="1"/>
  <c r="E74" i="8"/>
  <c r="H73" i="8"/>
  <c r="I73" i="8" s="1"/>
  <c r="E73" i="8"/>
  <c r="H72" i="8"/>
  <c r="I72" i="8" s="1"/>
  <c r="E72" i="8"/>
  <c r="H71" i="8"/>
  <c r="I71" i="8" s="1"/>
  <c r="E71" i="8"/>
  <c r="H70" i="8"/>
  <c r="I70" i="8" s="1"/>
  <c r="E70" i="8"/>
  <c r="H69" i="8"/>
  <c r="I69" i="8" s="1"/>
  <c r="E69" i="8"/>
  <c r="L59" i="8"/>
  <c r="K59" i="8"/>
  <c r="J59" i="8"/>
  <c r="I59" i="8"/>
  <c r="H59" i="8"/>
  <c r="G59" i="8"/>
  <c r="F59" i="8"/>
  <c r="E59" i="8"/>
  <c r="D59" i="8"/>
  <c r="C59" i="8"/>
  <c r="L58" i="8"/>
  <c r="K58" i="8"/>
  <c r="J58" i="8"/>
  <c r="I58" i="8"/>
  <c r="H58" i="8"/>
  <c r="G58" i="8"/>
  <c r="F58" i="8"/>
  <c r="E58" i="8"/>
  <c r="D58" i="8"/>
  <c r="C58" i="8"/>
  <c r="L56" i="8"/>
  <c r="K56" i="8"/>
  <c r="J56" i="8"/>
  <c r="I56" i="8"/>
  <c r="H56" i="8"/>
  <c r="G56" i="8"/>
  <c r="F56" i="8"/>
  <c r="E56" i="8"/>
  <c r="D56" i="8"/>
  <c r="C56" i="8"/>
  <c r="L55" i="8"/>
  <c r="K55" i="8"/>
  <c r="J55" i="8"/>
  <c r="I55" i="8"/>
  <c r="H55" i="8"/>
  <c r="G55" i="8"/>
  <c r="F55" i="8"/>
  <c r="E55" i="8"/>
  <c r="D55" i="8"/>
  <c r="C55" i="8"/>
  <c r="L54" i="8"/>
  <c r="K54" i="8"/>
  <c r="J54" i="8"/>
  <c r="I54" i="8"/>
  <c r="H54" i="8"/>
  <c r="G54" i="8"/>
  <c r="F54" i="8"/>
  <c r="E54" i="8"/>
  <c r="D54" i="8"/>
  <c r="C54" i="8"/>
  <c r="L53" i="8"/>
  <c r="K53" i="8"/>
  <c r="J53" i="8"/>
  <c r="I53" i="8"/>
  <c r="H53" i="8"/>
  <c r="G53" i="8"/>
  <c r="F53" i="8"/>
  <c r="E53" i="8"/>
  <c r="D53" i="8"/>
  <c r="C53" i="8"/>
  <c r="L52" i="8"/>
  <c r="K52" i="8"/>
  <c r="J52" i="8"/>
  <c r="I52" i="8"/>
  <c r="H52" i="8"/>
  <c r="G52" i="8"/>
  <c r="F52" i="8"/>
  <c r="E52" i="8"/>
  <c r="D52" i="8"/>
  <c r="C52" i="8"/>
  <c r="L51" i="8"/>
  <c r="K51" i="8"/>
  <c r="J51" i="8"/>
  <c r="I51" i="8"/>
  <c r="H51" i="8"/>
  <c r="G51" i="8"/>
  <c r="F51" i="8"/>
  <c r="E51" i="8"/>
  <c r="D51" i="8"/>
  <c r="C51" i="8"/>
  <c r="L50" i="8"/>
  <c r="K50" i="8"/>
  <c r="J50" i="8"/>
  <c r="I50" i="8"/>
  <c r="H50" i="8"/>
  <c r="G50" i="8"/>
  <c r="F50" i="8"/>
  <c r="E50" i="8"/>
  <c r="D50" i="8"/>
  <c r="C50" i="8"/>
  <c r="L49" i="8"/>
  <c r="K49" i="8"/>
  <c r="J49" i="8"/>
  <c r="I49" i="8"/>
  <c r="H49" i="8"/>
  <c r="G49" i="8"/>
  <c r="F49" i="8"/>
  <c r="E49" i="8"/>
  <c r="D49" i="8"/>
  <c r="C49" i="8"/>
  <c r="L48" i="8"/>
  <c r="K48" i="8"/>
  <c r="J48" i="8"/>
  <c r="I48" i="8"/>
  <c r="H48" i="8"/>
  <c r="G48" i="8"/>
  <c r="F48" i="8"/>
  <c r="E48" i="8"/>
  <c r="D48" i="8"/>
  <c r="C48" i="8"/>
  <c r="L47" i="8"/>
  <c r="K47" i="8"/>
  <c r="J47" i="8"/>
  <c r="I47" i="8"/>
  <c r="H47" i="8"/>
  <c r="G47" i="8"/>
  <c r="F47" i="8"/>
  <c r="E47" i="8"/>
  <c r="D47" i="8"/>
  <c r="C47" i="8"/>
  <c r="L46" i="8"/>
  <c r="K46" i="8"/>
  <c r="J46" i="8"/>
  <c r="I46" i="8"/>
  <c r="H46" i="8"/>
  <c r="G46" i="8"/>
  <c r="F46" i="8"/>
  <c r="E46" i="8"/>
  <c r="D46" i="8"/>
  <c r="C46" i="8"/>
  <c r="L44" i="8"/>
  <c r="K44" i="8"/>
  <c r="J44" i="8"/>
  <c r="I44" i="8"/>
  <c r="H44" i="8"/>
  <c r="G44" i="8"/>
  <c r="F44" i="8"/>
  <c r="E44" i="8"/>
  <c r="D44" i="8"/>
  <c r="C44" i="8"/>
  <c r="L43" i="8"/>
  <c r="K43" i="8"/>
  <c r="J43" i="8"/>
  <c r="I43" i="8"/>
  <c r="H43" i="8"/>
  <c r="G43" i="8"/>
  <c r="F43" i="8"/>
  <c r="E43" i="8"/>
  <c r="D43" i="8"/>
  <c r="C43" i="8"/>
  <c r="L42" i="8"/>
  <c r="K42" i="8"/>
  <c r="J42" i="8"/>
  <c r="I42" i="8"/>
  <c r="H42" i="8"/>
  <c r="G42" i="8"/>
  <c r="F42" i="8"/>
  <c r="E42" i="8"/>
  <c r="D42" i="8"/>
  <c r="C42" i="8"/>
  <c r="L41" i="8"/>
  <c r="K41" i="8"/>
  <c r="J41" i="8"/>
  <c r="I41" i="8"/>
  <c r="H41" i="8"/>
  <c r="G41" i="8"/>
  <c r="F41" i="8"/>
  <c r="E41" i="8"/>
  <c r="D41" i="8"/>
  <c r="C41" i="8"/>
  <c r="L40" i="8"/>
  <c r="K40" i="8"/>
  <c r="J40" i="8"/>
  <c r="I40" i="8"/>
  <c r="H40" i="8"/>
  <c r="G40" i="8"/>
  <c r="F40" i="8"/>
  <c r="E40" i="8"/>
  <c r="D40" i="8"/>
  <c r="C40" i="8"/>
  <c r="L39" i="8"/>
  <c r="K39" i="8"/>
  <c r="J39" i="8"/>
  <c r="I39" i="8"/>
  <c r="H39" i="8"/>
  <c r="G39" i="8"/>
  <c r="F39" i="8"/>
  <c r="E39" i="8"/>
  <c r="D39" i="8"/>
  <c r="C39" i="8"/>
  <c r="L38" i="8"/>
  <c r="K38" i="8"/>
  <c r="J38" i="8"/>
  <c r="I38" i="8"/>
  <c r="H38" i="8"/>
  <c r="G38" i="8"/>
  <c r="F38" i="8"/>
  <c r="E38" i="8"/>
  <c r="D38" i="8"/>
  <c r="C38" i="8"/>
  <c r="L37" i="8"/>
  <c r="K37" i="8"/>
  <c r="J37" i="8"/>
  <c r="I37" i="8"/>
  <c r="H37" i="8"/>
  <c r="G37" i="8"/>
  <c r="F37" i="8"/>
  <c r="E37" i="8"/>
  <c r="D37" i="8"/>
  <c r="C37" i="8"/>
  <c r="L36" i="8"/>
  <c r="K36" i="8"/>
  <c r="J36" i="8"/>
  <c r="I36" i="8"/>
  <c r="H36" i="8"/>
  <c r="G36" i="8"/>
  <c r="F36" i="8"/>
  <c r="E36" i="8"/>
  <c r="D36" i="8"/>
  <c r="C36" i="8"/>
  <c r="L34" i="8"/>
  <c r="K34" i="8"/>
  <c r="J34" i="8"/>
  <c r="I34" i="8"/>
  <c r="H34" i="8"/>
  <c r="G34" i="8"/>
  <c r="F34" i="8"/>
  <c r="E34" i="8"/>
  <c r="D34" i="8"/>
  <c r="C34" i="8"/>
  <c r="L33" i="8"/>
  <c r="K33" i="8"/>
  <c r="J33" i="8"/>
  <c r="I33" i="8"/>
  <c r="H33" i="8"/>
  <c r="G33" i="8"/>
  <c r="F33" i="8"/>
  <c r="E33" i="8"/>
  <c r="D33" i="8"/>
  <c r="C33" i="8"/>
  <c r="L32" i="8"/>
  <c r="K32" i="8"/>
  <c r="J32" i="8"/>
  <c r="I32" i="8"/>
  <c r="H32" i="8"/>
  <c r="G32" i="8"/>
  <c r="F32" i="8"/>
  <c r="E32" i="8"/>
  <c r="D32" i="8"/>
  <c r="C32" i="8"/>
  <c r="L31" i="8"/>
  <c r="K31" i="8"/>
  <c r="J31" i="8"/>
  <c r="I31" i="8"/>
  <c r="H31" i="8"/>
  <c r="G31" i="8"/>
  <c r="F31" i="8"/>
  <c r="E31" i="8"/>
  <c r="D31" i="8"/>
  <c r="C31" i="8"/>
  <c r="L30" i="8"/>
  <c r="K30" i="8"/>
  <c r="J30" i="8"/>
  <c r="I30" i="8"/>
  <c r="H30" i="8"/>
  <c r="G30" i="8"/>
  <c r="F30" i="8"/>
  <c r="E30" i="8"/>
  <c r="D30" i="8"/>
  <c r="C30" i="8"/>
  <c r="L29" i="8"/>
  <c r="K29" i="8"/>
  <c r="J29" i="8"/>
  <c r="I29" i="8"/>
  <c r="H29" i="8"/>
  <c r="G29" i="8"/>
  <c r="F29" i="8"/>
  <c r="E29" i="8"/>
  <c r="D29" i="8"/>
  <c r="C29" i="8"/>
  <c r="L28" i="8"/>
  <c r="K28" i="8"/>
  <c r="J28" i="8"/>
  <c r="I28" i="8"/>
  <c r="H28" i="8"/>
  <c r="G28" i="8"/>
  <c r="F28" i="8"/>
  <c r="E28" i="8"/>
  <c r="D28" i="8"/>
  <c r="C28" i="8"/>
  <c r="L27" i="8"/>
  <c r="K27" i="8"/>
  <c r="J27" i="8"/>
  <c r="I27" i="8"/>
  <c r="H27" i="8"/>
  <c r="G27" i="8"/>
  <c r="F27" i="8"/>
  <c r="E27" i="8"/>
  <c r="D27" i="8"/>
  <c r="C27" i="8"/>
  <c r="L25" i="8"/>
  <c r="K25" i="8"/>
  <c r="J25" i="8"/>
  <c r="I25" i="8"/>
  <c r="H25" i="8"/>
  <c r="G25" i="8"/>
  <c r="F25" i="8"/>
  <c r="E25" i="8"/>
  <c r="D25" i="8"/>
  <c r="C25" i="8"/>
  <c r="L24" i="8"/>
  <c r="K24" i="8"/>
  <c r="J24" i="8"/>
  <c r="I24" i="8"/>
  <c r="H24" i="8"/>
  <c r="G24" i="8"/>
  <c r="F24" i="8"/>
  <c r="E24" i="8"/>
  <c r="D24" i="8"/>
  <c r="C24" i="8"/>
  <c r="L22" i="8"/>
  <c r="K22" i="8"/>
  <c r="J22" i="8"/>
  <c r="I22" i="8"/>
  <c r="H22" i="8"/>
  <c r="G22" i="8"/>
  <c r="F22" i="8"/>
  <c r="E22" i="8"/>
  <c r="D22" i="8"/>
  <c r="C22" i="8"/>
  <c r="L21" i="8"/>
  <c r="K21" i="8"/>
  <c r="J21" i="8"/>
  <c r="I21" i="8"/>
  <c r="H21" i="8"/>
  <c r="G21" i="8"/>
  <c r="F21" i="8"/>
  <c r="E21" i="8"/>
  <c r="D21" i="8"/>
  <c r="C21" i="8"/>
  <c r="L20" i="8"/>
  <c r="K20" i="8"/>
  <c r="J20" i="8"/>
  <c r="I20" i="8"/>
  <c r="H20" i="8"/>
  <c r="G20" i="8"/>
  <c r="F20" i="8"/>
  <c r="E20" i="8"/>
  <c r="D20" i="8"/>
  <c r="C20" i="8"/>
  <c r="L19" i="8"/>
  <c r="K19" i="8"/>
  <c r="J19" i="8"/>
  <c r="I19" i="8"/>
  <c r="H19" i="8"/>
  <c r="G19" i="8"/>
  <c r="F19" i="8"/>
  <c r="E19" i="8"/>
  <c r="D19" i="8"/>
  <c r="C19" i="8"/>
  <c r="L18" i="8"/>
  <c r="K18" i="8"/>
  <c r="J18" i="8"/>
  <c r="I18" i="8"/>
  <c r="H18" i="8"/>
  <c r="G18" i="8"/>
  <c r="F18" i="8"/>
  <c r="E18" i="8"/>
  <c r="D18" i="8"/>
  <c r="C18" i="8"/>
  <c r="L17" i="8"/>
  <c r="K17" i="8"/>
  <c r="J17" i="8"/>
  <c r="I17" i="8"/>
  <c r="H17" i="8"/>
  <c r="G17" i="8"/>
  <c r="F17" i="8"/>
  <c r="E17" i="8"/>
  <c r="D17" i="8"/>
  <c r="C17" i="8"/>
  <c r="L16" i="8"/>
  <c r="K16" i="8"/>
  <c r="J16" i="8"/>
  <c r="I16" i="8"/>
  <c r="H16" i="8"/>
  <c r="G16" i="8"/>
  <c r="F16" i="8"/>
  <c r="E16" i="8"/>
  <c r="D16" i="8"/>
  <c r="C16" i="8"/>
  <c r="L15" i="8"/>
  <c r="K15" i="8"/>
  <c r="J15" i="8"/>
  <c r="I15" i="8"/>
  <c r="H15" i="8"/>
  <c r="G15" i="8"/>
  <c r="F15" i="8"/>
  <c r="E15" i="8"/>
  <c r="D15" i="8"/>
  <c r="C15" i="8"/>
  <c r="L14" i="8"/>
  <c r="K14" i="8"/>
  <c r="J14" i="8"/>
  <c r="I14" i="8"/>
  <c r="H14" i="8"/>
  <c r="G14" i="8"/>
  <c r="F14" i="8"/>
  <c r="E14" i="8"/>
  <c r="D14" i="8"/>
  <c r="C14" i="8"/>
  <c r="L13" i="8"/>
  <c r="K13" i="8"/>
  <c r="J13" i="8"/>
  <c r="I13" i="8"/>
  <c r="H13" i="8"/>
  <c r="G13" i="8"/>
  <c r="F13" i="8"/>
  <c r="E13" i="8"/>
  <c r="D13" i="8"/>
  <c r="C13" i="8"/>
  <c r="L12" i="8"/>
  <c r="K12" i="8"/>
  <c r="J12" i="8"/>
  <c r="I12" i="8"/>
  <c r="H12" i="8"/>
  <c r="G12" i="8"/>
  <c r="F12" i="8"/>
  <c r="E12" i="8"/>
  <c r="D12" i="8"/>
  <c r="C12" i="8"/>
  <c r="L10" i="8"/>
  <c r="K10" i="8"/>
  <c r="J10" i="8"/>
  <c r="I10" i="8"/>
  <c r="H10" i="8"/>
  <c r="G10" i="8"/>
  <c r="F10" i="8"/>
  <c r="E10" i="8"/>
  <c r="D10" i="8"/>
  <c r="C10" i="8"/>
  <c r="L9" i="8"/>
  <c r="K9" i="8"/>
  <c r="J9" i="8"/>
  <c r="I9" i="8"/>
  <c r="H9" i="8"/>
  <c r="G9" i="8"/>
  <c r="F9" i="8"/>
  <c r="E9" i="8"/>
  <c r="D9" i="8"/>
  <c r="C9" i="8"/>
  <c r="L8" i="8"/>
  <c r="K8" i="8"/>
  <c r="J8" i="8"/>
  <c r="I8" i="8"/>
  <c r="H8" i="8"/>
  <c r="G8" i="8"/>
  <c r="F8" i="8"/>
  <c r="E8" i="8"/>
  <c r="D8" i="8"/>
  <c r="C8" i="8"/>
  <c r="L7" i="8"/>
  <c r="K7" i="8"/>
  <c r="J7" i="8"/>
  <c r="I7" i="8"/>
  <c r="H7" i="8"/>
  <c r="G7" i="8"/>
  <c r="F7" i="8"/>
  <c r="E7" i="8"/>
  <c r="D7" i="8"/>
  <c r="C7" i="8"/>
  <c r="L6" i="8"/>
  <c r="K6" i="8"/>
  <c r="J6" i="8"/>
  <c r="I6" i="8"/>
  <c r="H6" i="8"/>
  <c r="G6" i="8"/>
  <c r="F6" i="8"/>
  <c r="E6" i="8"/>
  <c r="D6" i="8"/>
  <c r="C6" i="8"/>
  <c r="L5" i="8"/>
  <c r="K5" i="8"/>
  <c r="J5" i="8"/>
  <c r="I5" i="8"/>
  <c r="H5" i="8"/>
  <c r="G5" i="8"/>
  <c r="F5" i="8"/>
  <c r="E5" i="8"/>
  <c r="D5" i="8"/>
  <c r="C5" i="8"/>
  <c r="L4" i="8"/>
  <c r="K4" i="8"/>
  <c r="J4" i="8"/>
  <c r="I4" i="8"/>
  <c r="H4" i="8"/>
  <c r="G4" i="8"/>
  <c r="F4" i="8"/>
  <c r="E4" i="8"/>
  <c r="D4" i="8"/>
  <c r="C4" i="8"/>
  <c r="E110" i="12" l="1"/>
  <c r="E111" i="12" s="1"/>
  <c r="H103" i="12" s="1"/>
  <c r="E110" i="11"/>
  <c r="E111" i="11" s="1"/>
  <c r="H103" i="11" s="1"/>
  <c r="E108" i="8"/>
  <c r="E95" i="8"/>
  <c r="E90" i="8"/>
  <c r="E76" i="8"/>
  <c r="I95" i="8"/>
  <c r="I96" i="8" s="1"/>
  <c r="I80" i="8"/>
  <c r="I81" i="8" s="1"/>
  <c r="E110" i="8" l="1"/>
  <c r="E111" i="8" s="1"/>
  <c r="H103" i="8" s="1"/>
</calcChain>
</file>

<file path=xl/sharedStrings.xml><?xml version="1.0" encoding="utf-8"?>
<sst xmlns="http://schemas.openxmlformats.org/spreadsheetml/2006/main" count="1448" uniqueCount="205">
  <si>
    <t>Putting</t>
  </si>
  <si>
    <t>2'</t>
  </si>
  <si>
    <t>3'</t>
  </si>
  <si>
    <t>4'</t>
  </si>
  <si>
    <t>6'</t>
  </si>
  <si>
    <t>10'</t>
  </si>
  <si>
    <t>20'</t>
  </si>
  <si>
    <t>30'</t>
  </si>
  <si>
    <t>Chipping/Pitching</t>
  </si>
  <si>
    <t>5 yard</t>
  </si>
  <si>
    <t>3 yard</t>
  </si>
  <si>
    <t>10 yard</t>
  </si>
  <si>
    <t>20 yard</t>
  </si>
  <si>
    <t>30 yard</t>
  </si>
  <si>
    <t>40 yard</t>
  </si>
  <si>
    <t>60 yard</t>
  </si>
  <si>
    <t>60 yard rough</t>
  </si>
  <si>
    <t>80 yard</t>
  </si>
  <si>
    <t>100 yard</t>
  </si>
  <si>
    <t xml:space="preserve">Bunker </t>
  </si>
  <si>
    <t>25 yard</t>
  </si>
  <si>
    <t>Proximity</t>
  </si>
  <si>
    <t>Make</t>
  </si>
  <si>
    <t>12'</t>
  </si>
  <si>
    <t>40'</t>
  </si>
  <si>
    <t>Full Swing</t>
  </si>
  <si>
    <t>Driver - Target</t>
  </si>
  <si>
    <t>5 wood/hyrbrid -Target</t>
  </si>
  <si>
    <t>6 Iron - Target</t>
  </si>
  <si>
    <t>Driver - Draw</t>
  </si>
  <si>
    <t>Driver - Fade</t>
  </si>
  <si>
    <t>6 Iron - Draw</t>
  </si>
  <si>
    <t>6 Iron - Fade</t>
  </si>
  <si>
    <t>Ball Flight Control - 6i</t>
  </si>
  <si>
    <t xml:space="preserve">Performance Statistics </t>
  </si>
  <si>
    <t>Scoring Average</t>
  </si>
  <si>
    <t>To Par</t>
  </si>
  <si>
    <t>Green in Regulation</t>
  </si>
  <si>
    <t>Fairway in Regulation</t>
  </si>
  <si>
    <t>Average</t>
  </si>
  <si>
    <t>Putts Per Round</t>
  </si>
  <si>
    <t>Putts Per GIR</t>
  </si>
  <si>
    <t>Scrambling</t>
  </si>
  <si>
    <t>SAM Puttlab Score</t>
  </si>
  <si>
    <t>&gt;70%</t>
  </si>
  <si>
    <t>Overall Score</t>
  </si>
  <si>
    <t>Short Game Test</t>
  </si>
  <si>
    <t>Score</t>
  </si>
  <si>
    <t>Short Course Test</t>
  </si>
  <si>
    <t>Physical Proficiency</t>
  </si>
  <si>
    <t>FMS Score</t>
  </si>
  <si>
    <t>&lt;16</t>
  </si>
  <si>
    <t>Push Ups</t>
  </si>
  <si>
    <t>Pull Ups</t>
  </si>
  <si>
    <t>Horizontal Pull Ups</t>
  </si>
  <si>
    <t>Seated Chest Pass</t>
  </si>
  <si>
    <t>Sit up &amp; Throw</t>
  </si>
  <si>
    <t>5,10,5</t>
  </si>
  <si>
    <t>24'</t>
  </si>
  <si>
    <t>History/Rules</t>
  </si>
  <si>
    <t>Major Champions 1980-Present</t>
  </si>
  <si>
    <t>Rules Test Score</t>
  </si>
  <si>
    <t>GPC Academy Hat System Scoring</t>
  </si>
  <si>
    <t>Plank</t>
  </si>
  <si>
    <t>Supine Bridge</t>
  </si>
  <si>
    <t>Vertical Jump</t>
  </si>
  <si>
    <t>Broad Jump</t>
  </si>
  <si>
    <t>24"</t>
  </si>
  <si>
    <t>22"</t>
  </si>
  <si>
    <t>22'</t>
  </si>
  <si>
    <t>19'</t>
  </si>
  <si>
    <t>17'</t>
  </si>
  <si>
    <t>5'</t>
  </si>
  <si>
    <t>14"</t>
  </si>
  <si>
    <t>14'</t>
  </si>
  <si>
    <t>12"</t>
  </si>
  <si>
    <t>10"</t>
  </si>
  <si>
    <t>7'</t>
  </si>
  <si>
    <t>&gt;16</t>
  </si>
  <si>
    <t>&lt;8</t>
  </si>
  <si>
    <t>&lt;4</t>
  </si>
  <si>
    <t>&gt;80%</t>
  </si>
  <si>
    <t>&gt;75%</t>
  </si>
  <si>
    <t>&lt;12</t>
  </si>
  <si>
    <t>Flop Shot</t>
  </si>
  <si>
    <t>&lt;10</t>
  </si>
  <si>
    <t>&gt;65%</t>
  </si>
  <si>
    <t>&lt;30</t>
  </si>
  <si>
    <t>&gt;60%</t>
  </si>
  <si>
    <t>&lt;32</t>
  </si>
  <si>
    <t>&lt;14</t>
  </si>
  <si>
    <t>&lt;34</t>
  </si>
  <si>
    <t>&lt;18</t>
  </si>
  <si>
    <t>N/A</t>
  </si>
  <si>
    <t>&lt;40</t>
  </si>
  <si>
    <t>0/4</t>
  </si>
  <si>
    <t>&gt;50%</t>
  </si>
  <si>
    <t>&lt;24</t>
  </si>
  <si>
    <t>&gt;40%</t>
  </si>
  <si>
    <t>0/9</t>
  </si>
  <si>
    <t>&gt;14</t>
  </si>
  <si>
    <t>&gt;18</t>
  </si>
  <si>
    <t>8"</t>
  </si>
  <si>
    <t>16"</t>
  </si>
  <si>
    <t>18"</t>
  </si>
  <si>
    <t>20"</t>
  </si>
  <si>
    <t>28"</t>
  </si>
  <si>
    <t>3'8"</t>
  </si>
  <si>
    <t>4'2"</t>
  </si>
  <si>
    <t>4'8"</t>
  </si>
  <si>
    <t>5'2"</t>
  </si>
  <si>
    <t>5'8"</t>
  </si>
  <si>
    <t>6'2"</t>
  </si>
  <si>
    <t>6'8"</t>
  </si>
  <si>
    <t>7'2"</t>
  </si>
  <si>
    <t>7'8"</t>
  </si>
  <si>
    <t>8'</t>
  </si>
  <si>
    <t>&lt;37</t>
  </si>
  <si>
    <t>&lt;38</t>
  </si>
  <si>
    <t>&lt;2</t>
  </si>
  <si>
    <t>&lt;43</t>
  </si>
  <si>
    <t>&lt;47</t>
  </si>
  <si>
    <t>&lt;59</t>
  </si>
  <si>
    <t>&lt;63</t>
  </si>
  <si>
    <t>&lt;61</t>
  </si>
  <si>
    <t>&lt;57</t>
  </si>
  <si>
    <t>&lt;55</t>
  </si>
  <si>
    <t>&lt;53</t>
  </si>
  <si>
    <t>&lt;51</t>
  </si>
  <si>
    <t>&lt;49</t>
  </si>
  <si>
    <t>&lt;45</t>
  </si>
  <si>
    <t>Red/White</t>
  </si>
  <si>
    <t>Red/Black</t>
  </si>
  <si>
    <t>White/White</t>
  </si>
  <si>
    <t>White/Black</t>
  </si>
  <si>
    <t>Green/White</t>
  </si>
  <si>
    <t>Green/Black</t>
  </si>
  <si>
    <t>Blue/White</t>
  </si>
  <si>
    <t>Blue/Black</t>
  </si>
  <si>
    <t>Black/White</t>
  </si>
  <si>
    <t>Black/Black</t>
  </si>
  <si>
    <t>Scoring</t>
  </si>
  <si>
    <t>.</t>
  </si>
  <si>
    <t>v</t>
  </si>
  <si>
    <t>*16'8" = 16.08</t>
  </si>
  <si>
    <t>Test 1: Total Strokes</t>
  </si>
  <si>
    <t>Test 2: Total Score</t>
  </si>
  <si>
    <t>Test 3: Total Score</t>
  </si>
  <si>
    <t>GPC PDS Testing Sheet</t>
  </si>
  <si>
    <t xml:space="preserve">Test 1: GPC Shot Making </t>
  </si>
  <si>
    <t xml:space="preserve">Test 2: GPC Physical Proficiency </t>
  </si>
  <si>
    <t xml:space="preserve">Putting </t>
  </si>
  <si>
    <t xml:space="preserve">Out of possible 4 </t>
  </si>
  <si>
    <t xml:space="preserve">Result </t>
  </si>
  <si>
    <t>PDS Score</t>
  </si>
  <si>
    <t>5 - 10 - 5</t>
  </si>
  <si>
    <t>Putts per Round</t>
  </si>
  <si>
    <t>Push - Ups</t>
  </si>
  <si>
    <t>Pull - Ups</t>
  </si>
  <si>
    <t>Horizontal Rows</t>
  </si>
  <si>
    <t>Seated Chest Pass (ft)</t>
  </si>
  <si>
    <t>Sit up &amp; Throw (ft)</t>
  </si>
  <si>
    <t>Plank (sec)</t>
  </si>
  <si>
    <t>Total</t>
  </si>
  <si>
    <t>Supine Bridge (sec)</t>
  </si>
  <si>
    <t>Vertical Jump (ft)</t>
  </si>
  <si>
    <t>Out of possible 4</t>
  </si>
  <si>
    <t>Broad Jump (ft)</t>
  </si>
  <si>
    <t>5-10-5</t>
  </si>
  <si>
    <t>Total Score</t>
  </si>
  <si>
    <t xml:space="preserve">Test 2: PDS Points </t>
  </si>
  <si>
    <t xml:space="preserve">Test 3: GPC Golf Performance </t>
  </si>
  <si>
    <t xml:space="preserve">Statistic </t>
  </si>
  <si>
    <t>60 yard (rough)</t>
  </si>
  <si>
    <t>Greens in Regulation %</t>
  </si>
  <si>
    <t>Fairways in Regulation %</t>
  </si>
  <si>
    <t xml:space="preserve">Flop Shot </t>
  </si>
  <si>
    <t>Putts per GIR</t>
  </si>
  <si>
    <t>GPC Short Game</t>
  </si>
  <si>
    <t>Bumpy Score</t>
  </si>
  <si>
    <t>Scrambling %</t>
  </si>
  <si>
    <t>Bunker</t>
  </si>
  <si>
    <t>SAM Putt Lab Score</t>
  </si>
  <si>
    <t xml:space="preserve">GPC Short Game Test </t>
  </si>
  <si>
    <t>Short Course (Bumpy) Score</t>
  </si>
  <si>
    <t xml:space="preserve">Total </t>
  </si>
  <si>
    <t xml:space="preserve">Test 3: PDS Points </t>
  </si>
  <si>
    <t>Target Area</t>
  </si>
  <si>
    <t>Out of possible 6</t>
  </si>
  <si>
    <t>Driver</t>
  </si>
  <si>
    <t>Hat Level</t>
  </si>
  <si>
    <t>5 wood/hybrid</t>
  </si>
  <si>
    <t>1: GPC Shot Making</t>
  </si>
  <si>
    <t>6 Iron</t>
  </si>
  <si>
    <t>2: GPC Physical Profiency</t>
  </si>
  <si>
    <t>3: GPC Golf Performance</t>
  </si>
  <si>
    <t>Overall Hat Level</t>
  </si>
  <si>
    <t>Player Development Score</t>
  </si>
  <si>
    <t>Out of possible 9</t>
  </si>
  <si>
    <t>Ball Flight Laws - 6 Iron</t>
  </si>
  <si>
    <t>Total Strokes</t>
  </si>
  <si>
    <t xml:space="preserve">Test 1: PDS Points </t>
  </si>
  <si>
    <t xml:space="preserve">Player Name: </t>
  </si>
  <si>
    <t>Player Name: Caitlin Tully</t>
  </si>
  <si>
    <t>White w/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</si>
</sst>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;@"/>
    <numFmt numFmtId="165" formatCode="m/d/yy;@"/>
    <numFmt numFmtId="166" formatCode="0&quot;Ft&quot;.00&quot;in.&quot;"/>
    <numFmt numFmtId="167" formatCode="0.0"/>
    <numFmt numFmtId="168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Fill="1"/>
    <xf numFmtId="164" fontId="0" fillId="0" borderId="0" xfId="0" applyNumberFormat="1" applyFill="1"/>
    <xf numFmtId="164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9" fontId="0" fillId="0" borderId="0" xfId="0" applyNumberFormat="1" applyFill="1" applyAlignment="1">
      <alignment horizontal="right"/>
    </xf>
    <xf numFmtId="9" fontId="0" fillId="0" borderId="0" xfId="0" applyNumberFormat="1" applyFill="1"/>
    <xf numFmtId="2" fontId="0" fillId="0" borderId="0" xfId="0" applyNumberFormat="1" applyFill="1"/>
    <xf numFmtId="2" fontId="0" fillId="0" borderId="0" xfId="0" applyNumberFormat="1" applyFill="1" applyAlignment="1">
      <alignment horizontal="right"/>
    </xf>
    <xf numFmtId="0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/>
    <xf numFmtId="9" fontId="0" fillId="0" borderId="0" xfId="1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166" fontId="0" fillId="0" borderId="0" xfId="0" applyNumberFormat="1" applyFill="1" applyAlignment="1">
      <alignment horizontal="center"/>
    </xf>
    <xf numFmtId="0" fontId="6" fillId="0" borderId="0" xfId="0" applyFont="1" applyAlignmen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167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167" fontId="0" fillId="0" borderId="0" xfId="0" applyNumberFormat="1" applyFill="1" applyAlignment="1">
      <alignment horizontal="center"/>
    </xf>
    <xf numFmtId="0" fontId="7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center"/>
    </xf>
    <xf numFmtId="0" fontId="6" fillId="0" borderId="0" xfId="0" applyFont="1" applyFill="1" applyAlignment="1"/>
    <xf numFmtId="0" fontId="2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7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center"/>
    </xf>
    <xf numFmtId="2" fontId="0" fillId="0" borderId="0" xfId="0" applyNumberFormat="1"/>
    <xf numFmtId="0" fontId="0" fillId="0" borderId="1" xfId="0" applyFont="1" applyBorder="1" applyAlignment="1">
      <alignment horizontal="right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8" fontId="0" fillId="0" borderId="1" xfId="0" applyNumberForma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30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9"/>
  <sheetViews>
    <sheetView topLeftCell="A19" zoomScale="78" zoomScaleNormal="78" workbookViewId="0">
      <selection activeCell="D45" sqref="D45"/>
    </sheetView>
  </sheetViews>
  <sheetFormatPr defaultRowHeight="15" x14ac:dyDescent="0.25"/>
  <cols>
    <col min="1" max="1" width="42.42578125" customWidth="1"/>
    <col min="2" max="2" width="20.7109375" customWidth="1"/>
    <col min="3" max="12" width="15.7109375" customWidth="1"/>
  </cols>
  <sheetData>
    <row r="1" spans="1:12" ht="36.75" customHeight="1" x14ac:dyDescent="0.25">
      <c r="A1" s="67" t="s">
        <v>62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x14ac:dyDescent="0.25">
      <c r="B2" s="1" t="s">
        <v>21</v>
      </c>
      <c r="C2" s="5" t="s">
        <v>131</v>
      </c>
      <c r="D2" s="5" t="s">
        <v>132</v>
      </c>
      <c r="E2" s="6" t="s">
        <v>133</v>
      </c>
      <c r="F2" s="6" t="s">
        <v>134</v>
      </c>
      <c r="G2" s="7" t="s">
        <v>135</v>
      </c>
      <c r="H2" s="7" t="s">
        <v>136</v>
      </c>
      <c r="I2" s="8" t="s">
        <v>137</v>
      </c>
      <c r="J2" s="8" t="s">
        <v>138</v>
      </c>
      <c r="K2" s="9" t="s">
        <v>139</v>
      </c>
      <c r="L2" s="9" t="s">
        <v>140</v>
      </c>
    </row>
    <row r="3" spans="1:12" ht="18.75" x14ac:dyDescent="0.3">
      <c r="A3" s="3" t="s">
        <v>0</v>
      </c>
      <c r="B3" s="1"/>
      <c r="J3" s="10"/>
      <c r="K3" s="10"/>
      <c r="L3" s="10"/>
    </row>
    <row r="4" spans="1:12" x14ac:dyDescent="0.25">
      <c r="A4" s="2" t="s">
        <v>1</v>
      </c>
      <c r="B4" s="2" t="s">
        <v>22</v>
      </c>
      <c r="C4" s="11">
        <v>41702</v>
      </c>
      <c r="D4" s="11">
        <v>41702</v>
      </c>
      <c r="E4" s="11">
        <v>41733</v>
      </c>
      <c r="F4" s="11">
        <v>41733</v>
      </c>
      <c r="G4" s="11">
        <v>41733</v>
      </c>
      <c r="H4" s="11">
        <v>41733</v>
      </c>
      <c r="I4" s="11">
        <v>41733</v>
      </c>
      <c r="J4" s="11">
        <v>41733</v>
      </c>
      <c r="K4" s="11">
        <v>41733</v>
      </c>
      <c r="L4" s="11">
        <v>41733</v>
      </c>
    </row>
    <row r="5" spans="1:12" x14ac:dyDescent="0.25">
      <c r="A5" s="2" t="s">
        <v>2</v>
      </c>
      <c r="B5" s="2" t="s">
        <v>22</v>
      </c>
      <c r="C5" s="11">
        <v>41674</v>
      </c>
      <c r="D5" s="11">
        <v>41702</v>
      </c>
      <c r="E5" s="11">
        <v>41733</v>
      </c>
      <c r="F5" s="11">
        <v>41733</v>
      </c>
      <c r="G5" s="11">
        <v>41733</v>
      </c>
      <c r="H5" s="11">
        <v>41733</v>
      </c>
      <c r="I5" s="11">
        <v>41733</v>
      </c>
      <c r="J5" s="11">
        <v>41733</v>
      </c>
      <c r="K5" s="11">
        <v>41733</v>
      </c>
      <c r="L5" s="11">
        <v>41733</v>
      </c>
    </row>
    <row r="6" spans="1:12" x14ac:dyDescent="0.25">
      <c r="A6" s="2" t="s">
        <v>3</v>
      </c>
      <c r="B6" s="2" t="s">
        <v>22</v>
      </c>
      <c r="C6" s="11">
        <v>41674</v>
      </c>
      <c r="D6" s="11">
        <v>41674</v>
      </c>
      <c r="E6" s="11">
        <v>41702</v>
      </c>
      <c r="F6" s="11">
        <v>41733</v>
      </c>
      <c r="G6" s="11">
        <v>41733</v>
      </c>
      <c r="H6" s="11">
        <v>41733</v>
      </c>
      <c r="I6" s="11">
        <v>41733</v>
      </c>
      <c r="J6" s="11">
        <v>41733</v>
      </c>
      <c r="K6" s="11">
        <v>41733</v>
      </c>
      <c r="L6" s="11">
        <v>41733</v>
      </c>
    </row>
    <row r="7" spans="1:12" ht="14.45" x14ac:dyDescent="0.3">
      <c r="A7" s="2" t="s">
        <v>4</v>
      </c>
      <c r="B7" s="2" t="s">
        <v>22</v>
      </c>
      <c r="C7" s="11">
        <v>41643</v>
      </c>
      <c r="D7" s="11">
        <v>41643</v>
      </c>
      <c r="E7" s="11">
        <v>41643</v>
      </c>
      <c r="F7" s="11">
        <v>41643</v>
      </c>
      <c r="G7" s="11">
        <v>41674</v>
      </c>
      <c r="H7" s="11">
        <v>41702</v>
      </c>
      <c r="I7" s="11">
        <v>41733</v>
      </c>
      <c r="J7" s="11">
        <v>41733</v>
      </c>
      <c r="K7" s="11">
        <v>41733</v>
      </c>
      <c r="L7" s="11">
        <v>41733</v>
      </c>
    </row>
    <row r="8" spans="1:12" ht="14.45" x14ac:dyDescent="0.3">
      <c r="A8" s="2" t="s">
        <v>5</v>
      </c>
      <c r="B8" s="2" t="s">
        <v>22</v>
      </c>
      <c r="C8" s="12" t="s">
        <v>95</v>
      </c>
      <c r="D8" s="12" t="s">
        <v>95</v>
      </c>
      <c r="E8" s="11">
        <v>41643</v>
      </c>
      <c r="F8" s="11">
        <v>41643</v>
      </c>
      <c r="G8" s="11">
        <v>41643</v>
      </c>
      <c r="H8" s="11">
        <v>41643</v>
      </c>
      <c r="I8" s="11">
        <v>41643</v>
      </c>
      <c r="J8" s="11">
        <v>41674</v>
      </c>
      <c r="K8" s="11">
        <v>41674</v>
      </c>
      <c r="L8" s="11">
        <v>41674</v>
      </c>
    </row>
    <row r="9" spans="1:12" ht="14.45" x14ac:dyDescent="0.3">
      <c r="A9" s="2" t="s">
        <v>6</v>
      </c>
      <c r="B9" s="2" t="s">
        <v>1</v>
      </c>
      <c r="C9" s="12" t="s">
        <v>95</v>
      </c>
      <c r="D9" s="11">
        <v>41643</v>
      </c>
      <c r="E9" s="11">
        <v>41643</v>
      </c>
      <c r="F9" s="11">
        <v>41643</v>
      </c>
      <c r="G9" s="11">
        <v>41674</v>
      </c>
      <c r="H9" s="11">
        <v>41674</v>
      </c>
      <c r="I9" s="11">
        <v>41674</v>
      </c>
      <c r="J9" s="11">
        <v>41702</v>
      </c>
      <c r="K9" s="11">
        <v>41702</v>
      </c>
      <c r="L9" s="11">
        <v>41702</v>
      </c>
    </row>
    <row r="10" spans="1:12" ht="14.45" x14ac:dyDescent="0.3">
      <c r="A10" s="2" t="s">
        <v>7</v>
      </c>
      <c r="B10" s="2" t="s">
        <v>2</v>
      </c>
      <c r="C10" s="12" t="s">
        <v>95</v>
      </c>
      <c r="D10" s="11">
        <v>41643</v>
      </c>
      <c r="E10" s="11">
        <v>41643</v>
      </c>
      <c r="F10" s="11">
        <v>41643</v>
      </c>
      <c r="G10" s="11">
        <v>41674</v>
      </c>
      <c r="H10" s="11">
        <v>41674</v>
      </c>
      <c r="I10" s="11">
        <v>41674</v>
      </c>
      <c r="J10" s="11">
        <v>41702</v>
      </c>
      <c r="K10" s="11">
        <v>41702</v>
      </c>
      <c r="L10" s="11">
        <v>41702</v>
      </c>
    </row>
    <row r="11" spans="1:12" ht="18" x14ac:dyDescent="0.35">
      <c r="A11" s="3" t="s">
        <v>8</v>
      </c>
      <c r="B11" s="1"/>
      <c r="J11" s="11"/>
      <c r="K11" s="11"/>
      <c r="L11" s="11"/>
    </row>
    <row r="12" spans="1:12" x14ac:dyDescent="0.25">
      <c r="A12" s="2" t="s">
        <v>10</v>
      </c>
      <c r="B12" s="2" t="s">
        <v>2</v>
      </c>
      <c r="C12" s="11">
        <v>41643</v>
      </c>
      <c r="D12" s="11">
        <v>41643</v>
      </c>
      <c r="E12" s="11">
        <v>41674</v>
      </c>
      <c r="F12" s="11">
        <v>41702</v>
      </c>
      <c r="G12" s="11">
        <v>41733</v>
      </c>
      <c r="H12" s="11">
        <v>41733</v>
      </c>
      <c r="I12" s="11">
        <v>41733</v>
      </c>
      <c r="J12" s="11">
        <v>41733</v>
      </c>
      <c r="K12" s="11">
        <v>41733</v>
      </c>
      <c r="L12" s="11">
        <v>41733</v>
      </c>
    </row>
    <row r="13" spans="1:12" ht="14.45" x14ac:dyDescent="0.3">
      <c r="A13" s="2" t="s">
        <v>9</v>
      </c>
      <c r="B13" s="2" t="s">
        <v>2</v>
      </c>
      <c r="C13" s="11">
        <v>41643</v>
      </c>
      <c r="D13" s="11">
        <v>41643</v>
      </c>
      <c r="E13" s="11">
        <v>41674</v>
      </c>
      <c r="F13" s="11">
        <v>41702</v>
      </c>
      <c r="G13" s="11">
        <v>41733</v>
      </c>
      <c r="H13" s="11">
        <v>41733</v>
      </c>
      <c r="I13" s="11">
        <v>41733</v>
      </c>
      <c r="J13" s="11">
        <v>41733</v>
      </c>
      <c r="K13" s="11">
        <v>41733</v>
      </c>
      <c r="L13" s="11">
        <v>41733</v>
      </c>
    </row>
    <row r="14" spans="1:12" ht="14.45" x14ac:dyDescent="0.3">
      <c r="A14" s="2" t="s">
        <v>11</v>
      </c>
      <c r="B14" s="2" t="s">
        <v>72</v>
      </c>
      <c r="C14" s="12">
        <v>41643</v>
      </c>
      <c r="D14" s="12">
        <v>41643</v>
      </c>
      <c r="E14" s="11">
        <v>41643</v>
      </c>
      <c r="F14" s="11">
        <v>41643</v>
      </c>
      <c r="G14" s="11">
        <v>41674</v>
      </c>
      <c r="H14" s="11">
        <v>41674</v>
      </c>
      <c r="I14" s="11">
        <v>41674</v>
      </c>
      <c r="J14" s="11">
        <v>41702</v>
      </c>
      <c r="K14" s="11">
        <v>41733</v>
      </c>
      <c r="L14" s="11">
        <v>41733</v>
      </c>
    </row>
    <row r="15" spans="1:12" ht="14.45" x14ac:dyDescent="0.3">
      <c r="A15" s="2" t="s">
        <v>12</v>
      </c>
      <c r="B15" s="2" t="s">
        <v>23</v>
      </c>
      <c r="C15" s="11">
        <v>41643</v>
      </c>
      <c r="D15" s="11">
        <v>41643</v>
      </c>
      <c r="E15" s="11">
        <v>41643</v>
      </c>
      <c r="F15" s="11">
        <v>41643</v>
      </c>
      <c r="G15" s="11">
        <v>41643</v>
      </c>
      <c r="H15" s="11">
        <v>41643</v>
      </c>
      <c r="I15" s="11">
        <v>41674</v>
      </c>
      <c r="J15" s="11">
        <v>41674</v>
      </c>
      <c r="K15" s="11">
        <v>41702</v>
      </c>
      <c r="L15" s="11">
        <v>41733</v>
      </c>
    </row>
    <row r="16" spans="1:12" x14ac:dyDescent="0.25">
      <c r="A16" s="2" t="s">
        <v>13</v>
      </c>
      <c r="B16" s="2" t="s">
        <v>23</v>
      </c>
      <c r="C16" s="11">
        <v>41643</v>
      </c>
      <c r="D16" s="11">
        <v>41643</v>
      </c>
      <c r="E16" s="11">
        <v>41643</v>
      </c>
      <c r="F16" s="11">
        <v>41643</v>
      </c>
      <c r="G16" s="11">
        <v>41643</v>
      </c>
      <c r="H16" s="11">
        <v>41643</v>
      </c>
      <c r="I16" s="11">
        <v>41674</v>
      </c>
      <c r="J16" s="11">
        <v>41674</v>
      </c>
      <c r="K16" s="11">
        <v>41674</v>
      </c>
      <c r="L16" s="11">
        <v>41702</v>
      </c>
    </row>
    <row r="17" spans="1:12" ht="14.45" x14ac:dyDescent="0.3">
      <c r="A17" s="2" t="s">
        <v>14</v>
      </c>
      <c r="B17" s="2" t="s">
        <v>23</v>
      </c>
      <c r="C17" s="11">
        <v>41643</v>
      </c>
      <c r="D17" s="11">
        <v>41643</v>
      </c>
      <c r="E17" s="11">
        <v>41643</v>
      </c>
      <c r="F17" s="11">
        <v>41643</v>
      </c>
      <c r="G17" s="11">
        <v>41643</v>
      </c>
      <c r="H17" s="11">
        <v>41643</v>
      </c>
      <c r="I17" s="11">
        <v>41674</v>
      </c>
      <c r="J17" s="11">
        <v>41674</v>
      </c>
      <c r="K17" s="11">
        <v>41674</v>
      </c>
      <c r="L17" s="11">
        <v>41674</v>
      </c>
    </row>
    <row r="18" spans="1:12" ht="14.45" x14ac:dyDescent="0.3">
      <c r="A18" s="2" t="s">
        <v>15</v>
      </c>
      <c r="B18" s="2" t="s">
        <v>6</v>
      </c>
      <c r="C18" s="12" t="s">
        <v>95</v>
      </c>
      <c r="D18" s="12" t="s">
        <v>95</v>
      </c>
      <c r="E18" s="11">
        <v>41643</v>
      </c>
      <c r="F18" s="11">
        <v>41643</v>
      </c>
      <c r="G18" s="11">
        <v>41643</v>
      </c>
      <c r="H18" s="11">
        <v>41643</v>
      </c>
      <c r="I18" s="11">
        <v>41674</v>
      </c>
      <c r="J18" s="11">
        <v>41674</v>
      </c>
      <c r="K18" s="11">
        <v>41674</v>
      </c>
      <c r="L18" s="11">
        <v>41702</v>
      </c>
    </row>
    <row r="19" spans="1:12" ht="14.45" x14ac:dyDescent="0.3">
      <c r="A19" s="2" t="s">
        <v>16</v>
      </c>
      <c r="B19" s="2" t="s">
        <v>6</v>
      </c>
      <c r="C19" s="12" t="s">
        <v>95</v>
      </c>
      <c r="D19" s="12" t="s">
        <v>95</v>
      </c>
      <c r="E19" s="11">
        <v>41643</v>
      </c>
      <c r="F19" s="11">
        <v>41643</v>
      </c>
      <c r="G19" s="11">
        <v>41643</v>
      </c>
      <c r="H19" s="11">
        <v>41643</v>
      </c>
      <c r="I19" s="11">
        <v>41674</v>
      </c>
      <c r="J19" s="11">
        <v>41674</v>
      </c>
      <c r="K19" s="11">
        <v>41674</v>
      </c>
      <c r="L19" s="11">
        <v>41702</v>
      </c>
    </row>
    <row r="20" spans="1:12" ht="14.45" x14ac:dyDescent="0.3">
      <c r="A20" s="2" t="s">
        <v>17</v>
      </c>
      <c r="B20" s="2" t="s">
        <v>6</v>
      </c>
      <c r="C20" s="12" t="s">
        <v>95</v>
      </c>
      <c r="D20" s="12" t="s">
        <v>95</v>
      </c>
      <c r="E20" s="12" t="s">
        <v>95</v>
      </c>
      <c r="F20" s="11">
        <v>41643</v>
      </c>
      <c r="G20" s="11">
        <v>41643</v>
      </c>
      <c r="H20" s="11">
        <v>41643</v>
      </c>
      <c r="I20" s="11">
        <v>41674</v>
      </c>
      <c r="J20" s="11">
        <v>41674</v>
      </c>
      <c r="K20" s="11">
        <v>41674</v>
      </c>
      <c r="L20" s="11">
        <v>41702</v>
      </c>
    </row>
    <row r="21" spans="1:12" x14ac:dyDescent="0.25">
      <c r="A21" s="2" t="s">
        <v>18</v>
      </c>
      <c r="B21" s="2" t="s">
        <v>24</v>
      </c>
      <c r="C21" s="12" t="s">
        <v>95</v>
      </c>
      <c r="D21" s="12" t="s">
        <v>95</v>
      </c>
      <c r="E21" s="12" t="s">
        <v>95</v>
      </c>
      <c r="F21" s="11">
        <v>41643</v>
      </c>
      <c r="G21" s="11">
        <v>41643</v>
      </c>
      <c r="H21" s="11">
        <v>41643</v>
      </c>
      <c r="I21" s="11">
        <v>41643</v>
      </c>
      <c r="J21" s="11">
        <v>41643</v>
      </c>
      <c r="K21" s="11">
        <v>41674</v>
      </c>
      <c r="L21" s="11">
        <v>41702</v>
      </c>
    </row>
    <row r="22" spans="1:12" x14ac:dyDescent="0.25">
      <c r="A22" s="2" t="s">
        <v>84</v>
      </c>
      <c r="B22" s="2" t="s">
        <v>23</v>
      </c>
      <c r="C22" s="12" t="s">
        <v>95</v>
      </c>
      <c r="D22" s="12" t="s">
        <v>95</v>
      </c>
      <c r="E22" s="12" t="s">
        <v>95</v>
      </c>
      <c r="F22" s="11">
        <v>41643</v>
      </c>
      <c r="G22" s="11">
        <v>41643</v>
      </c>
      <c r="H22" s="11">
        <v>41643</v>
      </c>
      <c r="I22" s="11">
        <v>41674</v>
      </c>
      <c r="J22" s="11">
        <v>41674</v>
      </c>
      <c r="K22" s="11">
        <v>41702</v>
      </c>
      <c r="L22" s="11">
        <v>41733</v>
      </c>
    </row>
    <row r="23" spans="1:12" ht="18" x14ac:dyDescent="0.35">
      <c r="A23" s="3" t="s">
        <v>19</v>
      </c>
      <c r="B23" s="1"/>
      <c r="J23" s="11"/>
      <c r="K23" s="11"/>
      <c r="L23" s="11"/>
    </row>
    <row r="24" spans="1:12" x14ac:dyDescent="0.25">
      <c r="A24" s="2" t="s">
        <v>11</v>
      </c>
      <c r="B24" s="2" t="s">
        <v>23</v>
      </c>
      <c r="C24" s="2" t="s">
        <v>95</v>
      </c>
      <c r="D24" s="12" t="s">
        <v>95</v>
      </c>
      <c r="E24" s="11">
        <v>41643</v>
      </c>
      <c r="F24" s="11">
        <v>41674</v>
      </c>
      <c r="G24" s="11">
        <v>41674</v>
      </c>
      <c r="H24" s="11">
        <v>41674</v>
      </c>
      <c r="I24" s="11">
        <v>41702</v>
      </c>
      <c r="J24" s="11">
        <v>41702</v>
      </c>
      <c r="K24" s="11">
        <v>41702</v>
      </c>
      <c r="L24" s="11">
        <v>41733</v>
      </c>
    </row>
    <row r="25" spans="1:12" x14ac:dyDescent="0.25">
      <c r="A25" s="2" t="s">
        <v>20</v>
      </c>
      <c r="B25" s="2" t="s">
        <v>6</v>
      </c>
      <c r="C25" s="2" t="s">
        <v>95</v>
      </c>
      <c r="D25" s="12" t="s">
        <v>95</v>
      </c>
      <c r="E25" s="12" t="s">
        <v>95</v>
      </c>
      <c r="F25" s="11">
        <v>41643</v>
      </c>
      <c r="G25" s="11">
        <v>41674</v>
      </c>
      <c r="H25" s="11">
        <v>41674</v>
      </c>
      <c r="I25" s="11">
        <v>41674</v>
      </c>
      <c r="J25" s="11">
        <v>41674</v>
      </c>
      <c r="K25" s="11">
        <v>41702</v>
      </c>
      <c r="L25" s="11">
        <v>41702</v>
      </c>
    </row>
    <row r="26" spans="1:12" ht="18.75" x14ac:dyDescent="0.3">
      <c r="A26" s="3" t="s">
        <v>25</v>
      </c>
      <c r="J26" s="11"/>
      <c r="K26" s="11"/>
      <c r="L26" s="11"/>
    </row>
    <row r="27" spans="1:12" x14ac:dyDescent="0.25">
      <c r="A27" s="2" t="s">
        <v>26</v>
      </c>
      <c r="B27" s="2" t="s">
        <v>14</v>
      </c>
      <c r="C27" s="11">
        <v>41645</v>
      </c>
      <c r="D27" s="11">
        <v>41645</v>
      </c>
      <c r="E27" s="11">
        <v>41645</v>
      </c>
      <c r="F27" s="11">
        <v>41645</v>
      </c>
      <c r="G27" s="11">
        <v>41676</v>
      </c>
      <c r="H27" s="11">
        <v>41676</v>
      </c>
      <c r="I27" s="11">
        <v>41704</v>
      </c>
      <c r="J27" s="11">
        <v>41704</v>
      </c>
      <c r="K27" s="11">
        <v>41735</v>
      </c>
      <c r="L27" s="11">
        <v>41765</v>
      </c>
    </row>
    <row r="28" spans="1:12" x14ac:dyDescent="0.25">
      <c r="A28" s="2" t="s">
        <v>27</v>
      </c>
      <c r="B28" s="2" t="s">
        <v>13</v>
      </c>
      <c r="C28" s="11">
        <v>41645</v>
      </c>
      <c r="D28" s="11">
        <v>41645</v>
      </c>
      <c r="E28" s="11">
        <v>41645</v>
      </c>
      <c r="F28" s="11">
        <v>41645</v>
      </c>
      <c r="G28" s="11">
        <v>41676</v>
      </c>
      <c r="H28" s="11">
        <v>41676</v>
      </c>
      <c r="I28" s="11">
        <v>41704</v>
      </c>
      <c r="J28" s="11">
        <v>41704</v>
      </c>
      <c r="K28" s="11">
        <v>41735</v>
      </c>
      <c r="L28" s="11">
        <v>41765</v>
      </c>
    </row>
    <row r="29" spans="1:12" x14ac:dyDescent="0.25">
      <c r="A29" s="2" t="s">
        <v>28</v>
      </c>
      <c r="B29" s="2" t="s">
        <v>12</v>
      </c>
      <c r="C29" s="11">
        <v>41645</v>
      </c>
      <c r="D29" s="11">
        <v>41645</v>
      </c>
      <c r="E29" s="11">
        <v>41645</v>
      </c>
      <c r="F29" s="11">
        <v>41645</v>
      </c>
      <c r="G29" s="11">
        <v>41676</v>
      </c>
      <c r="H29" s="11">
        <v>41676</v>
      </c>
      <c r="I29" s="11">
        <v>41704</v>
      </c>
      <c r="J29" s="11">
        <v>41704</v>
      </c>
      <c r="K29" s="11">
        <v>41735</v>
      </c>
      <c r="L29" s="11">
        <v>41765</v>
      </c>
    </row>
    <row r="30" spans="1:12" x14ac:dyDescent="0.25">
      <c r="A30" s="2" t="s">
        <v>29</v>
      </c>
      <c r="B30" s="2" t="s">
        <v>12</v>
      </c>
      <c r="C30" s="12" t="s">
        <v>95</v>
      </c>
      <c r="D30" s="12" t="s">
        <v>95</v>
      </c>
      <c r="E30" s="12" t="s">
        <v>95</v>
      </c>
      <c r="F30" s="11">
        <v>41643</v>
      </c>
      <c r="G30" s="11">
        <v>41674</v>
      </c>
      <c r="H30" s="11">
        <v>41674</v>
      </c>
      <c r="I30" s="11">
        <v>41674</v>
      </c>
      <c r="J30" s="11">
        <v>41674</v>
      </c>
      <c r="K30" s="11">
        <v>41702</v>
      </c>
      <c r="L30" s="11">
        <v>41702</v>
      </c>
    </row>
    <row r="31" spans="1:12" x14ac:dyDescent="0.25">
      <c r="A31" s="2" t="s">
        <v>30</v>
      </c>
      <c r="B31" s="2" t="s">
        <v>12</v>
      </c>
      <c r="C31" s="12" t="s">
        <v>95</v>
      </c>
      <c r="D31" s="12" t="s">
        <v>95</v>
      </c>
      <c r="E31" s="12" t="s">
        <v>95</v>
      </c>
      <c r="F31" s="11">
        <v>41643</v>
      </c>
      <c r="G31" s="11">
        <v>41674</v>
      </c>
      <c r="H31" s="11">
        <v>41674</v>
      </c>
      <c r="I31" s="11">
        <v>41674</v>
      </c>
      <c r="J31" s="11">
        <v>41674</v>
      </c>
      <c r="K31" s="11">
        <v>41702</v>
      </c>
      <c r="L31" s="11">
        <v>41702</v>
      </c>
    </row>
    <row r="32" spans="1:12" x14ac:dyDescent="0.25">
      <c r="A32" s="2" t="s">
        <v>31</v>
      </c>
      <c r="B32" s="2" t="s">
        <v>11</v>
      </c>
      <c r="C32" s="12" t="s">
        <v>95</v>
      </c>
      <c r="D32" s="12" t="s">
        <v>95</v>
      </c>
      <c r="E32" s="12" t="s">
        <v>95</v>
      </c>
      <c r="F32" s="11">
        <v>41643</v>
      </c>
      <c r="G32" s="11">
        <v>41674</v>
      </c>
      <c r="H32" s="11">
        <v>41674</v>
      </c>
      <c r="I32" s="11">
        <v>41674</v>
      </c>
      <c r="J32" s="11">
        <v>41674</v>
      </c>
      <c r="K32" s="11">
        <v>41702</v>
      </c>
      <c r="L32" s="11">
        <v>41702</v>
      </c>
    </row>
    <row r="33" spans="1:12" x14ac:dyDescent="0.25">
      <c r="A33" s="2" t="s">
        <v>32</v>
      </c>
      <c r="B33" s="2" t="s">
        <v>11</v>
      </c>
      <c r="C33" s="12" t="s">
        <v>95</v>
      </c>
      <c r="D33" s="12" t="s">
        <v>95</v>
      </c>
      <c r="E33" s="12" t="s">
        <v>95</v>
      </c>
      <c r="F33" s="11">
        <v>41643</v>
      </c>
      <c r="G33" s="11">
        <v>41674</v>
      </c>
      <c r="H33" s="11">
        <v>41674</v>
      </c>
      <c r="I33" s="11">
        <v>41674</v>
      </c>
      <c r="J33" s="11">
        <v>41674</v>
      </c>
      <c r="K33" s="11">
        <v>41702</v>
      </c>
      <c r="L33" s="11">
        <v>41702</v>
      </c>
    </row>
    <row r="34" spans="1:12" x14ac:dyDescent="0.25">
      <c r="A34" s="2" t="s">
        <v>33</v>
      </c>
      <c r="B34" s="2" t="s">
        <v>12</v>
      </c>
      <c r="C34" s="12" t="s">
        <v>99</v>
      </c>
      <c r="D34" s="12" t="s">
        <v>99</v>
      </c>
      <c r="E34" s="12" t="s">
        <v>99</v>
      </c>
      <c r="F34" s="11">
        <v>41648</v>
      </c>
      <c r="G34" s="11">
        <v>41707</v>
      </c>
      <c r="H34" s="11">
        <v>41738</v>
      </c>
      <c r="I34" s="11">
        <v>41768</v>
      </c>
      <c r="J34" s="11">
        <v>41799</v>
      </c>
      <c r="K34" s="11">
        <v>41829</v>
      </c>
      <c r="L34" s="11">
        <v>41829</v>
      </c>
    </row>
    <row r="35" spans="1:12" ht="18.75" x14ac:dyDescent="0.3">
      <c r="A35" s="3" t="s">
        <v>34</v>
      </c>
      <c r="J35" s="10"/>
      <c r="K35" s="11"/>
      <c r="L35" s="10"/>
    </row>
    <row r="36" spans="1:12" x14ac:dyDescent="0.25">
      <c r="A36" s="2" t="s">
        <v>35</v>
      </c>
      <c r="B36" s="2" t="s">
        <v>36</v>
      </c>
      <c r="C36" s="12" t="s">
        <v>97</v>
      </c>
      <c r="D36" s="12" t="s">
        <v>97</v>
      </c>
      <c r="E36" s="12" t="s">
        <v>92</v>
      </c>
      <c r="F36" s="12" t="s">
        <v>51</v>
      </c>
      <c r="G36" s="12" t="s">
        <v>90</v>
      </c>
      <c r="H36" s="12" t="s">
        <v>83</v>
      </c>
      <c r="I36" s="12" t="s">
        <v>85</v>
      </c>
      <c r="J36" s="12" t="s">
        <v>79</v>
      </c>
      <c r="K36" s="12" t="s">
        <v>80</v>
      </c>
      <c r="L36" s="13" t="s">
        <v>119</v>
      </c>
    </row>
    <row r="37" spans="1:12" x14ac:dyDescent="0.25">
      <c r="A37" s="2" t="s">
        <v>37</v>
      </c>
      <c r="B37" s="2" t="s">
        <v>39</v>
      </c>
      <c r="C37" s="17" t="s">
        <v>93</v>
      </c>
      <c r="D37" s="17" t="s">
        <v>93</v>
      </c>
      <c r="E37" s="17" t="s">
        <v>93</v>
      </c>
      <c r="F37" s="14">
        <v>0.25</v>
      </c>
      <c r="G37" s="14">
        <v>0.3</v>
      </c>
      <c r="H37" s="14">
        <v>0.35</v>
      </c>
      <c r="I37" s="14">
        <v>0.35</v>
      </c>
      <c r="J37" s="14">
        <v>0.4</v>
      </c>
      <c r="K37" s="14">
        <v>0.5</v>
      </c>
      <c r="L37" s="15">
        <v>0.6</v>
      </c>
    </row>
    <row r="38" spans="1:12" x14ac:dyDescent="0.25">
      <c r="A38" s="2" t="s">
        <v>38</v>
      </c>
      <c r="B38" s="2" t="s">
        <v>39</v>
      </c>
      <c r="C38" s="17" t="s">
        <v>93</v>
      </c>
      <c r="D38" s="17" t="s">
        <v>93</v>
      </c>
      <c r="E38" s="17" t="s">
        <v>93</v>
      </c>
      <c r="F38" s="14">
        <v>0.3</v>
      </c>
      <c r="G38" s="14">
        <v>0.35</v>
      </c>
      <c r="H38" s="14">
        <v>0.35</v>
      </c>
      <c r="I38" s="14">
        <v>0.4</v>
      </c>
      <c r="J38" s="14">
        <v>0.4</v>
      </c>
      <c r="K38" s="14">
        <v>0.45</v>
      </c>
      <c r="L38" s="15">
        <v>0.5</v>
      </c>
    </row>
    <row r="39" spans="1:12" x14ac:dyDescent="0.25">
      <c r="A39" s="2" t="s">
        <v>40</v>
      </c>
      <c r="B39" s="2" t="s">
        <v>39</v>
      </c>
      <c r="C39" s="17" t="s">
        <v>93</v>
      </c>
      <c r="D39" s="17" t="s">
        <v>93</v>
      </c>
      <c r="E39" s="17" t="s">
        <v>93</v>
      </c>
      <c r="F39" s="14" t="s">
        <v>94</v>
      </c>
      <c r="G39" s="14" t="s">
        <v>118</v>
      </c>
      <c r="H39" s="14" t="s">
        <v>118</v>
      </c>
      <c r="I39" s="14" t="s">
        <v>117</v>
      </c>
      <c r="J39" s="14" t="s">
        <v>91</v>
      </c>
      <c r="K39" s="14" t="s">
        <v>89</v>
      </c>
      <c r="L39" s="13" t="s">
        <v>87</v>
      </c>
    </row>
    <row r="40" spans="1:12" x14ac:dyDescent="0.25">
      <c r="A40" s="2" t="s">
        <v>41</v>
      </c>
      <c r="B40" s="2" t="s">
        <v>39</v>
      </c>
      <c r="C40" s="17" t="s">
        <v>93</v>
      </c>
      <c r="D40" s="17" t="s">
        <v>93</v>
      </c>
      <c r="E40" s="17" t="s">
        <v>93</v>
      </c>
      <c r="F40" s="17" t="s">
        <v>93</v>
      </c>
      <c r="G40" s="16">
        <v>2.0699999999999998</v>
      </c>
      <c r="H40" s="16">
        <v>2.0699999999999998</v>
      </c>
      <c r="I40" s="16">
        <v>2</v>
      </c>
      <c r="J40" s="16">
        <v>1.87</v>
      </c>
      <c r="K40" s="10">
        <v>1.77</v>
      </c>
      <c r="L40" s="10">
        <v>1.67</v>
      </c>
    </row>
    <row r="41" spans="1:12" x14ac:dyDescent="0.25">
      <c r="A41" s="2" t="s">
        <v>42</v>
      </c>
      <c r="B41" s="2" t="s">
        <v>39</v>
      </c>
      <c r="C41" s="17" t="s">
        <v>93</v>
      </c>
      <c r="D41" s="17" t="s">
        <v>93</v>
      </c>
      <c r="E41" s="17" t="s">
        <v>93</v>
      </c>
      <c r="F41" s="14">
        <v>0.15</v>
      </c>
      <c r="G41" s="14">
        <v>0.2</v>
      </c>
      <c r="H41" s="14">
        <v>0.2</v>
      </c>
      <c r="I41" s="14">
        <v>0.25</v>
      </c>
      <c r="J41" s="14">
        <v>0.3</v>
      </c>
      <c r="K41" s="14">
        <v>0.35</v>
      </c>
      <c r="L41" s="14">
        <v>0.4</v>
      </c>
    </row>
    <row r="42" spans="1:12" x14ac:dyDescent="0.25">
      <c r="A42" s="2" t="s">
        <v>43</v>
      </c>
      <c r="B42" s="2" t="s">
        <v>45</v>
      </c>
      <c r="C42" s="14" t="s">
        <v>98</v>
      </c>
      <c r="D42" s="14" t="s">
        <v>96</v>
      </c>
      <c r="E42" s="14" t="s">
        <v>96</v>
      </c>
      <c r="F42" s="14" t="s">
        <v>88</v>
      </c>
      <c r="G42" s="14" t="s">
        <v>88</v>
      </c>
      <c r="H42" s="14" t="s">
        <v>88</v>
      </c>
      <c r="I42" s="14" t="s">
        <v>86</v>
      </c>
      <c r="J42" s="14" t="s">
        <v>44</v>
      </c>
      <c r="K42" s="14" t="s">
        <v>82</v>
      </c>
      <c r="L42" s="13" t="s">
        <v>81</v>
      </c>
    </row>
    <row r="43" spans="1:12" x14ac:dyDescent="0.25">
      <c r="A43" s="2" t="s">
        <v>46</v>
      </c>
      <c r="B43" s="2" t="s">
        <v>47</v>
      </c>
      <c r="C43" s="14" t="s">
        <v>122</v>
      </c>
      <c r="D43" s="14" t="s">
        <v>125</v>
      </c>
      <c r="E43" s="14" t="s">
        <v>126</v>
      </c>
      <c r="F43" s="14" t="s">
        <v>127</v>
      </c>
      <c r="G43" s="14" t="s">
        <v>128</v>
      </c>
      <c r="H43" s="14" t="s">
        <v>129</v>
      </c>
      <c r="I43" s="14" t="s">
        <v>121</v>
      </c>
      <c r="J43" s="14" t="s">
        <v>130</v>
      </c>
      <c r="K43" s="14" t="s">
        <v>120</v>
      </c>
      <c r="L43" s="14" t="s">
        <v>120</v>
      </c>
    </row>
    <row r="44" spans="1:12" x14ac:dyDescent="0.25">
      <c r="A44" s="2" t="s">
        <v>48</v>
      </c>
      <c r="B44" s="2" t="s">
        <v>47</v>
      </c>
      <c r="C44" s="14" t="s">
        <v>123</v>
      </c>
      <c r="D44" s="14" t="s">
        <v>124</v>
      </c>
      <c r="E44" s="14" t="s">
        <v>122</v>
      </c>
      <c r="F44" s="14" t="s">
        <v>125</v>
      </c>
      <c r="G44" s="14" t="s">
        <v>126</v>
      </c>
      <c r="H44" s="14" t="s">
        <v>127</v>
      </c>
      <c r="I44" s="14" t="s">
        <v>128</v>
      </c>
      <c r="J44" s="14" t="s">
        <v>129</v>
      </c>
      <c r="K44" s="14" t="s">
        <v>121</v>
      </c>
      <c r="L44" s="14" t="s">
        <v>121</v>
      </c>
    </row>
    <row r="45" spans="1:12" ht="18.75" x14ac:dyDescent="0.3">
      <c r="A45" s="3" t="s">
        <v>49</v>
      </c>
      <c r="J45" s="10"/>
      <c r="K45" s="10"/>
      <c r="L45" s="10"/>
    </row>
    <row r="46" spans="1:12" x14ac:dyDescent="0.25">
      <c r="A46" s="2" t="s">
        <v>50</v>
      </c>
      <c r="B46" s="2"/>
      <c r="C46" s="2" t="s">
        <v>100</v>
      </c>
      <c r="D46" s="2" t="s">
        <v>100</v>
      </c>
      <c r="E46" s="2" t="s">
        <v>100</v>
      </c>
      <c r="F46" s="2" t="s">
        <v>100</v>
      </c>
      <c r="G46" s="2" t="s">
        <v>100</v>
      </c>
      <c r="H46" s="2" t="s">
        <v>100</v>
      </c>
      <c r="I46" s="2" t="s">
        <v>78</v>
      </c>
      <c r="J46" s="2" t="s">
        <v>78</v>
      </c>
      <c r="K46" s="2" t="s">
        <v>101</v>
      </c>
      <c r="L46" s="2" t="s">
        <v>101</v>
      </c>
    </row>
    <row r="47" spans="1:12" x14ac:dyDescent="0.25">
      <c r="A47" s="2" t="s">
        <v>52</v>
      </c>
      <c r="B47" s="2"/>
      <c r="C47" s="2">
        <v>1</v>
      </c>
      <c r="D47" s="2">
        <v>5</v>
      </c>
      <c r="E47" s="2">
        <v>10</v>
      </c>
      <c r="F47" s="2">
        <v>15</v>
      </c>
      <c r="G47" s="2">
        <v>20</v>
      </c>
      <c r="H47" s="2">
        <v>25</v>
      </c>
      <c r="I47" s="2">
        <v>30</v>
      </c>
      <c r="J47" s="2">
        <v>35</v>
      </c>
      <c r="K47" s="2">
        <v>40</v>
      </c>
      <c r="L47">
        <v>45</v>
      </c>
    </row>
    <row r="48" spans="1:12" x14ac:dyDescent="0.25">
      <c r="A48" s="2" t="s">
        <v>53</v>
      </c>
      <c r="B48" s="2"/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7</v>
      </c>
      <c r="J48" s="2">
        <v>8</v>
      </c>
      <c r="K48" s="2">
        <v>10</v>
      </c>
      <c r="L48">
        <v>15</v>
      </c>
    </row>
    <row r="49" spans="1:12" x14ac:dyDescent="0.25">
      <c r="A49" s="2" t="s">
        <v>54</v>
      </c>
      <c r="C49" s="2">
        <v>1</v>
      </c>
      <c r="D49" s="2">
        <v>5</v>
      </c>
      <c r="E49" s="2">
        <v>10</v>
      </c>
      <c r="F49" s="2">
        <v>15</v>
      </c>
      <c r="G49" s="2">
        <v>20</v>
      </c>
      <c r="H49" s="2">
        <v>25</v>
      </c>
      <c r="I49" s="2">
        <v>30</v>
      </c>
      <c r="J49" s="2">
        <v>35</v>
      </c>
      <c r="K49" s="2">
        <v>40</v>
      </c>
      <c r="L49">
        <v>45</v>
      </c>
    </row>
    <row r="50" spans="1:12" x14ac:dyDescent="0.25">
      <c r="A50" s="2" t="s">
        <v>55</v>
      </c>
      <c r="C50" s="2" t="s">
        <v>72</v>
      </c>
      <c r="D50" s="2" t="s">
        <v>4</v>
      </c>
      <c r="E50" s="2" t="s">
        <v>77</v>
      </c>
      <c r="F50" s="2" t="s">
        <v>5</v>
      </c>
      <c r="G50" s="2" t="s">
        <v>23</v>
      </c>
      <c r="H50" s="2" t="s">
        <v>74</v>
      </c>
      <c r="I50" s="2" t="s">
        <v>71</v>
      </c>
      <c r="J50" s="2" t="s">
        <v>70</v>
      </c>
      <c r="K50" s="2" t="s">
        <v>69</v>
      </c>
      <c r="L50" s="2" t="s">
        <v>58</v>
      </c>
    </row>
    <row r="51" spans="1:12" x14ac:dyDescent="0.25">
      <c r="A51" s="2" t="s">
        <v>56</v>
      </c>
      <c r="C51" s="2" t="s">
        <v>72</v>
      </c>
      <c r="D51" s="2" t="s">
        <v>4</v>
      </c>
      <c r="E51" s="2" t="s">
        <v>77</v>
      </c>
      <c r="F51" s="2" t="s">
        <v>5</v>
      </c>
      <c r="G51" s="2" t="s">
        <v>23</v>
      </c>
      <c r="H51" s="2" t="s">
        <v>74</v>
      </c>
      <c r="I51" s="2" t="s">
        <v>71</v>
      </c>
      <c r="J51" s="2" t="s">
        <v>70</v>
      </c>
      <c r="K51" s="2" t="s">
        <v>69</v>
      </c>
      <c r="L51" s="2" t="s">
        <v>58</v>
      </c>
    </row>
    <row r="52" spans="1:12" x14ac:dyDescent="0.25">
      <c r="A52" s="2" t="s">
        <v>63</v>
      </c>
      <c r="C52" s="2">
        <v>24</v>
      </c>
      <c r="D52" s="2">
        <v>48</v>
      </c>
      <c r="E52" s="2">
        <v>72</v>
      </c>
      <c r="F52" s="2">
        <v>96</v>
      </c>
      <c r="G52" s="2">
        <v>120</v>
      </c>
      <c r="H52" s="2">
        <v>144</v>
      </c>
      <c r="I52" s="2">
        <v>168</v>
      </c>
      <c r="J52" s="2">
        <v>192</v>
      </c>
      <c r="K52" s="2">
        <v>216</v>
      </c>
      <c r="L52" s="2">
        <v>240</v>
      </c>
    </row>
    <row r="53" spans="1:12" x14ac:dyDescent="0.25">
      <c r="A53" s="2" t="s">
        <v>64</v>
      </c>
      <c r="C53" s="2">
        <v>24</v>
      </c>
      <c r="D53" s="2">
        <v>48</v>
      </c>
      <c r="E53" s="2">
        <v>72</v>
      </c>
      <c r="F53" s="2">
        <v>96</v>
      </c>
      <c r="G53" s="2">
        <v>120</v>
      </c>
      <c r="H53" s="2">
        <v>144</v>
      </c>
      <c r="I53" s="2">
        <v>168</v>
      </c>
      <c r="J53" s="2">
        <v>192</v>
      </c>
      <c r="K53" s="2">
        <v>216</v>
      </c>
      <c r="L53" s="2">
        <v>240</v>
      </c>
    </row>
    <row r="54" spans="1:12" x14ac:dyDescent="0.25">
      <c r="A54" s="2" t="s">
        <v>65</v>
      </c>
      <c r="C54" s="2" t="s">
        <v>102</v>
      </c>
      <c r="D54" s="2" t="s">
        <v>76</v>
      </c>
      <c r="E54" s="2" t="s">
        <v>75</v>
      </c>
      <c r="F54" s="2" t="s">
        <v>73</v>
      </c>
      <c r="G54" s="2" t="s">
        <v>103</v>
      </c>
      <c r="H54" s="2" t="s">
        <v>104</v>
      </c>
      <c r="I54" s="2" t="s">
        <v>105</v>
      </c>
      <c r="J54" s="2" t="s">
        <v>68</v>
      </c>
      <c r="K54" s="2" t="s">
        <v>67</v>
      </c>
      <c r="L54" s="2" t="s">
        <v>106</v>
      </c>
    </row>
    <row r="55" spans="1:12" x14ac:dyDescent="0.25">
      <c r="A55" s="2" t="s">
        <v>66</v>
      </c>
      <c r="C55" s="2" t="s">
        <v>107</v>
      </c>
      <c r="D55" s="2" t="s">
        <v>108</v>
      </c>
      <c r="E55" s="2" t="s">
        <v>109</v>
      </c>
      <c r="F55" s="2" t="s">
        <v>110</v>
      </c>
      <c r="G55" s="2" t="s">
        <v>111</v>
      </c>
      <c r="H55" s="2" t="s">
        <v>112</v>
      </c>
      <c r="I55" s="2" t="s">
        <v>113</v>
      </c>
      <c r="J55" s="2" t="s">
        <v>114</v>
      </c>
      <c r="K55" s="2" t="s">
        <v>115</v>
      </c>
      <c r="L55" s="2" t="s">
        <v>116</v>
      </c>
    </row>
    <row r="56" spans="1:12" x14ac:dyDescent="0.25">
      <c r="A56" s="4" t="s">
        <v>57</v>
      </c>
      <c r="C56" s="2">
        <v>5.99</v>
      </c>
      <c r="D56" s="2">
        <v>5.75</v>
      </c>
      <c r="E56" s="2">
        <v>5.5</v>
      </c>
      <c r="F56" s="2">
        <v>5</v>
      </c>
      <c r="G56" s="2">
        <v>4.75</v>
      </c>
      <c r="H56" s="2">
        <v>4.59</v>
      </c>
      <c r="I56" s="2">
        <v>4.49</v>
      </c>
      <c r="J56" s="2">
        <v>4.3899999999999997</v>
      </c>
      <c r="K56" s="2">
        <v>4.29</v>
      </c>
      <c r="L56" s="2">
        <v>4.09</v>
      </c>
    </row>
    <row r="57" spans="1:12" ht="18.75" x14ac:dyDescent="0.3">
      <c r="A57" s="3" t="s">
        <v>59</v>
      </c>
      <c r="J57" s="10"/>
      <c r="K57" s="10"/>
      <c r="L57" s="10"/>
    </row>
    <row r="58" spans="1:12" x14ac:dyDescent="0.25">
      <c r="A58" s="2" t="s">
        <v>60</v>
      </c>
      <c r="C58" s="13" t="s">
        <v>96</v>
      </c>
      <c r="D58" s="13" t="s">
        <v>96</v>
      </c>
      <c r="E58" s="13" t="s">
        <v>88</v>
      </c>
      <c r="F58" s="13" t="s">
        <v>86</v>
      </c>
      <c r="G58" s="13" t="s">
        <v>86</v>
      </c>
      <c r="H58" s="13" t="s">
        <v>44</v>
      </c>
      <c r="I58" s="13" t="s">
        <v>44</v>
      </c>
      <c r="J58" s="13" t="s">
        <v>44</v>
      </c>
      <c r="K58" s="13" t="s">
        <v>82</v>
      </c>
      <c r="L58" s="13" t="s">
        <v>81</v>
      </c>
    </row>
    <row r="59" spans="1:12" x14ac:dyDescent="0.25">
      <c r="A59" s="2" t="s">
        <v>61</v>
      </c>
      <c r="C59" s="13" t="s">
        <v>96</v>
      </c>
      <c r="D59" s="13" t="s">
        <v>96</v>
      </c>
      <c r="E59" s="13" t="s">
        <v>88</v>
      </c>
      <c r="F59" s="13" t="s">
        <v>86</v>
      </c>
      <c r="G59" s="13" t="s">
        <v>86</v>
      </c>
      <c r="H59" s="13" t="s">
        <v>44</v>
      </c>
      <c r="I59" s="13" t="s">
        <v>44</v>
      </c>
      <c r="J59" s="13" t="s">
        <v>44</v>
      </c>
      <c r="K59" s="13" t="s">
        <v>82</v>
      </c>
      <c r="L59" s="13" t="s">
        <v>81</v>
      </c>
    </row>
  </sheetData>
  <mergeCells count="1">
    <mergeCell ref="A1:L1"/>
  </mergeCells>
  <printOptions gridLines="1"/>
  <pageMargins left="0.7" right="0.7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11"/>
  <sheetViews>
    <sheetView zoomScale="78" zoomScaleNormal="78" workbookViewId="0">
      <selection activeCell="N2" sqref="N2:O2"/>
    </sheetView>
  </sheetViews>
  <sheetFormatPr defaultRowHeight="15" x14ac:dyDescent="0.25"/>
  <cols>
    <col min="1" max="1" width="36.5703125" customWidth="1"/>
    <col min="2" max="2" width="13.7109375" customWidth="1"/>
    <col min="3" max="4" width="14.85546875" customWidth="1"/>
    <col min="5" max="12" width="15.7109375" customWidth="1"/>
    <col min="13" max="13" width="2.85546875" style="29" customWidth="1"/>
    <col min="14" max="15" width="15.7109375" customWidth="1"/>
  </cols>
  <sheetData>
    <row r="1" spans="1:17" ht="36.75" customHeight="1" x14ac:dyDescent="0.25">
      <c r="A1" s="67" t="s">
        <v>62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7" x14ac:dyDescent="0.25">
      <c r="B2" s="1" t="s">
        <v>21</v>
      </c>
      <c r="C2" s="20" t="s">
        <v>131</v>
      </c>
      <c r="D2" s="20" t="s">
        <v>132</v>
      </c>
      <c r="E2" s="6" t="s">
        <v>133</v>
      </c>
      <c r="F2" s="6" t="s">
        <v>134</v>
      </c>
      <c r="G2" s="7" t="s">
        <v>135</v>
      </c>
      <c r="H2" s="7" t="s">
        <v>136</v>
      </c>
      <c r="I2" s="8" t="s">
        <v>137</v>
      </c>
      <c r="J2" s="8" t="s">
        <v>138</v>
      </c>
      <c r="K2" s="9" t="s">
        <v>139</v>
      </c>
      <c r="L2" s="23" t="s">
        <v>140</v>
      </c>
      <c r="M2" s="10"/>
      <c r="N2" s="71" t="s">
        <v>202</v>
      </c>
      <c r="O2" s="72"/>
      <c r="P2" s="21"/>
      <c r="Q2" s="21"/>
    </row>
    <row r="3" spans="1:17" ht="18.75" x14ac:dyDescent="0.3">
      <c r="A3" s="3" t="s">
        <v>0</v>
      </c>
      <c r="B3" s="30"/>
      <c r="C3" s="30"/>
      <c r="D3" s="29"/>
      <c r="E3" s="29"/>
      <c r="F3" s="29"/>
      <c r="G3" s="29"/>
      <c r="H3" s="29"/>
      <c r="I3" s="29"/>
      <c r="J3" s="29"/>
      <c r="K3" s="29"/>
      <c r="L3" s="29"/>
      <c r="N3" s="1" t="s">
        <v>141</v>
      </c>
      <c r="O3" s="21"/>
      <c r="P3" s="21"/>
      <c r="Q3" s="21"/>
    </row>
    <row r="4" spans="1:17" x14ac:dyDescent="0.25">
      <c r="A4" s="2" t="s">
        <v>1</v>
      </c>
      <c r="B4" s="2" t="s">
        <v>22</v>
      </c>
      <c r="C4" s="19">
        <f t="shared" ref="C4:C10" si="0">N4</f>
        <v>0</v>
      </c>
      <c r="D4" s="18">
        <f t="shared" ref="D4:D10" si="1">N4</f>
        <v>0</v>
      </c>
      <c r="E4" s="18">
        <f t="shared" ref="E4:E10" si="2">N4</f>
        <v>0</v>
      </c>
      <c r="F4" s="18">
        <f t="shared" ref="F4:F10" si="3">N4</f>
        <v>0</v>
      </c>
      <c r="G4" s="18">
        <f t="shared" ref="G4:G10" si="4">N4</f>
        <v>0</v>
      </c>
      <c r="H4" s="18">
        <f t="shared" ref="H4:H10" si="5">N4</f>
        <v>0</v>
      </c>
      <c r="I4" s="18">
        <f t="shared" ref="I4:I10" si="6">N4</f>
        <v>0</v>
      </c>
      <c r="J4" s="18">
        <f t="shared" ref="J4:J10" si="7">N4</f>
        <v>0</v>
      </c>
      <c r="K4" s="18">
        <f t="shared" ref="K4:K10" si="8">N4</f>
        <v>0</v>
      </c>
      <c r="L4" s="18">
        <f>N4</f>
        <v>0</v>
      </c>
      <c r="N4" s="18">
        <v>0</v>
      </c>
    </row>
    <row r="5" spans="1:17" x14ac:dyDescent="0.25">
      <c r="A5" s="2" t="s">
        <v>2</v>
      </c>
      <c r="B5" s="2" t="s">
        <v>22</v>
      </c>
      <c r="C5" s="19">
        <f t="shared" si="0"/>
        <v>0</v>
      </c>
      <c r="D5" s="18">
        <f t="shared" si="1"/>
        <v>0</v>
      </c>
      <c r="E5" s="18">
        <f t="shared" si="2"/>
        <v>0</v>
      </c>
      <c r="F5" s="18">
        <f t="shared" si="3"/>
        <v>0</v>
      </c>
      <c r="G5" s="18">
        <f t="shared" si="4"/>
        <v>0</v>
      </c>
      <c r="H5" s="18">
        <f t="shared" si="5"/>
        <v>0</v>
      </c>
      <c r="I5" s="18">
        <f t="shared" si="6"/>
        <v>0</v>
      </c>
      <c r="J5" s="18">
        <f t="shared" si="7"/>
        <v>0</v>
      </c>
      <c r="K5" s="18">
        <f t="shared" si="8"/>
        <v>0</v>
      </c>
      <c r="L5" s="18">
        <f t="shared" ref="L5:L10" si="9">N5</f>
        <v>0</v>
      </c>
      <c r="N5" s="18">
        <v>0</v>
      </c>
    </row>
    <row r="6" spans="1:17" x14ac:dyDescent="0.25">
      <c r="A6" s="2" t="s">
        <v>3</v>
      </c>
      <c r="B6" s="2" t="s">
        <v>22</v>
      </c>
      <c r="C6" s="19">
        <f t="shared" si="0"/>
        <v>0</v>
      </c>
      <c r="D6" s="19">
        <f t="shared" si="1"/>
        <v>0</v>
      </c>
      <c r="E6" s="18">
        <f t="shared" si="2"/>
        <v>0</v>
      </c>
      <c r="F6" s="18">
        <f t="shared" si="3"/>
        <v>0</v>
      </c>
      <c r="G6" s="18">
        <f t="shared" si="4"/>
        <v>0</v>
      </c>
      <c r="H6" s="18">
        <f t="shared" si="5"/>
        <v>0</v>
      </c>
      <c r="I6" s="18">
        <f t="shared" si="6"/>
        <v>0</v>
      </c>
      <c r="J6" s="18">
        <f t="shared" si="7"/>
        <v>0</v>
      </c>
      <c r="K6" s="18">
        <f t="shared" si="8"/>
        <v>0</v>
      </c>
      <c r="L6" s="18">
        <f t="shared" si="9"/>
        <v>0</v>
      </c>
      <c r="N6" s="18">
        <v>0</v>
      </c>
    </row>
    <row r="7" spans="1:17" x14ac:dyDescent="0.25">
      <c r="A7" s="2" t="s">
        <v>4</v>
      </c>
      <c r="B7" s="2" t="s">
        <v>22</v>
      </c>
      <c r="C7" s="19">
        <f t="shared" si="0"/>
        <v>0</v>
      </c>
      <c r="D7" s="19">
        <f t="shared" si="1"/>
        <v>0</v>
      </c>
      <c r="E7" s="18">
        <f t="shared" si="2"/>
        <v>0</v>
      </c>
      <c r="F7" s="18">
        <f t="shared" si="3"/>
        <v>0</v>
      </c>
      <c r="G7" s="18">
        <f t="shared" si="4"/>
        <v>0</v>
      </c>
      <c r="H7" s="18">
        <f t="shared" si="5"/>
        <v>0</v>
      </c>
      <c r="I7" s="18">
        <f t="shared" si="6"/>
        <v>0</v>
      </c>
      <c r="J7" s="18">
        <f t="shared" si="7"/>
        <v>0</v>
      </c>
      <c r="K7" s="18">
        <f t="shared" si="8"/>
        <v>0</v>
      </c>
      <c r="L7" s="18">
        <f t="shared" si="9"/>
        <v>0</v>
      </c>
      <c r="N7" s="18">
        <v>0</v>
      </c>
    </row>
    <row r="8" spans="1:17" x14ac:dyDescent="0.25">
      <c r="A8" s="2" t="s">
        <v>5</v>
      </c>
      <c r="B8" s="2" t="s">
        <v>22</v>
      </c>
      <c r="C8" s="19">
        <f t="shared" si="0"/>
        <v>0</v>
      </c>
      <c r="D8" s="19">
        <f t="shared" si="1"/>
        <v>0</v>
      </c>
      <c r="E8" s="18">
        <f t="shared" si="2"/>
        <v>0</v>
      </c>
      <c r="F8" s="18">
        <f t="shared" si="3"/>
        <v>0</v>
      </c>
      <c r="G8" s="18">
        <f t="shared" si="4"/>
        <v>0</v>
      </c>
      <c r="H8" s="18">
        <f t="shared" si="5"/>
        <v>0</v>
      </c>
      <c r="I8" s="18">
        <f t="shared" si="6"/>
        <v>0</v>
      </c>
      <c r="J8" s="18">
        <f t="shared" si="7"/>
        <v>0</v>
      </c>
      <c r="K8" s="18">
        <f t="shared" si="8"/>
        <v>0</v>
      </c>
      <c r="L8" s="18">
        <f t="shared" si="9"/>
        <v>0</v>
      </c>
      <c r="N8" s="18">
        <v>0</v>
      </c>
    </row>
    <row r="9" spans="1:17" x14ac:dyDescent="0.25">
      <c r="A9" s="2" t="s">
        <v>6</v>
      </c>
      <c r="B9" s="2" t="s">
        <v>1</v>
      </c>
      <c r="C9" s="19">
        <f t="shared" si="0"/>
        <v>0</v>
      </c>
      <c r="D9" s="19">
        <f t="shared" si="1"/>
        <v>0</v>
      </c>
      <c r="E9" s="18">
        <f t="shared" si="2"/>
        <v>0</v>
      </c>
      <c r="F9" s="18">
        <f t="shared" si="3"/>
        <v>0</v>
      </c>
      <c r="G9" s="18">
        <f t="shared" si="4"/>
        <v>0</v>
      </c>
      <c r="H9" s="18">
        <f t="shared" si="5"/>
        <v>0</v>
      </c>
      <c r="I9" s="18">
        <f t="shared" si="6"/>
        <v>0</v>
      </c>
      <c r="J9" s="18">
        <f t="shared" si="7"/>
        <v>0</v>
      </c>
      <c r="K9" s="18">
        <f t="shared" si="8"/>
        <v>0</v>
      </c>
      <c r="L9" s="18">
        <f t="shared" si="9"/>
        <v>0</v>
      </c>
      <c r="N9" s="18">
        <v>0</v>
      </c>
    </row>
    <row r="10" spans="1:17" x14ac:dyDescent="0.25">
      <c r="A10" s="2" t="s">
        <v>7</v>
      </c>
      <c r="B10" s="2" t="s">
        <v>2</v>
      </c>
      <c r="C10" s="19">
        <f t="shared" si="0"/>
        <v>0</v>
      </c>
      <c r="D10" s="19">
        <f t="shared" si="1"/>
        <v>0</v>
      </c>
      <c r="E10" s="18">
        <f t="shared" si="2"/>
        <v>0</v>
      </c>
      <c r="F10" s="18">
        <f t="shared" si="3"/>
        <v>0</v>
      </c>
      <c r="G10" s="18">
        <f t="shared" si="4"/>
        <v>0</v>
      </c>
      <c r="H10" s="18">
        <f t="shared" si="5"/>
        <v>0</v>
      </c>
      <c r="I10" s="18">
        <f t="shared" si="6"/>
        <v>0</v>
      </c>
      <c r="J10" s="18">
        <f t="shared" si="7"/>
        <v>0</v>
      </c>
      <c r="K10" s="18">
        <f t="shared" si="8"/>
        <v>0</v>
      </c>
      <c r="L10" s="18">
        <f t="shared" si="9"/>
        <v>0</v>
      </c>
      <c r="N10" s="18">
        <v>0</v>
      </c>
    </row>
    <row r="11" spans="1:17" ht="18.75" x14ac:dyDescent="0.3">
      <c r="A11" s="3" t="s">
        <v>8</v>
      </c>
      <c r="B11" s="1"/>
      <c r="C11" s="1"/>
      <c r="D11" s="18"/>
      <c r="J11" s="11"/>
      <c r="K11" s="11"/>
      <c r="L11" s="11"/>
      <c r="N11" s="18"/>
    </row>
    <row r="12" spans="1:17" x14ac:dyDescent="0.25">
      <c r="A12" s="2" t="s">
        <v>10</v>
      </c>
      <c r="B12" s="2" t="s">
        <v>2</v>
      </c>
      <c r="C12" s="18">
        <f t="shared" ref="C12:C22" si="10">N12</f>
        <v>0</v>
      </c>
      <c r="D12" s="18">
        <f t="shared" ref="D12:D22" si="11">N12</f>
        <v>0</v>
      </c>
      <c r="E12" s="18">
        <f t="shared" ref="E12:E22" si="12">N12</f>
        <v>0</v>
      </c>
      <c r="F12" s="18">
        <f t="shared" ref="F12:F22" si="13">N12</f>
        <v>0</v>
      </c>
      <c r="G12" s="18">
        <f t="shared" ref="G12:G22" si="14">N12</f>
        <v>0</v>
      </c>
      <c r="H12" s="18">
        <f t="shared" ref="H12:H22" si="15">N12</f>
        <v>0</v>
      </c>
      <c r="I12" s="18">
        <f t="shared" ref="I12:I22" si="16">N12</f>
        <v>0</v>
      </c>
      <c r="J12" s="18">
        <f t="shared" ref="J12:J22" si="17">N12</f>
        <v>0</v>
      </c>
      <c r="K12" s="18">
        <f t="shared" ref="K12:K22" si="18">N12</f>
        <v>0</v>
      </c>
      <c r="L12" s="18">
        <f t="shared" ref="L12:L22" si="19">N12</f>
        <v>0</v>
      </c>
      <c r="N12" s="18">
        <v>0</v>
      </c>
    </row>
    <row r="13" spans="1:17" x14ac:dyDescent="0.25">
      <c r="A13" s="2" t="s">
        <v>9</v>
      </c>
      <c r="B13" s="2" t="s">
        <v>2</v>
      </c>
      <c r="C13" s="18">
        <f t="shared" si="10"/>
        <v>0</v>
      </c>
      <c r="D13" s="18">
        <f t="shared" si="11"/>
        <v>0</v>
      </c>
      <c r="E13" s="18">
        <f t="shared" si="12"/>
        <v>0</v>
      </c>
      <c r="F13" s="18">
        <f t="shared" si="13"/>
        <v>0</v>
      </c>
      <c r="G13" s="18">
        <f t="shared" si="14"/>
        <v>0</v>
      </c>
      <c r="H13" s="18">
        <f t="shared" si="15"/>
        <v>0</v>
      </c>
      <c r="I13" s="18">
        <f t="shared" si="16"/>
        <v>0</v>
      </c>
      <c r="J13" s="18">
        <f t="shared" si="17"/>
        <v>0</v>
      </c>
      <c r="K13" s="18">
        <f t="shared" si="18"/>
        <v>0</v>
      </c>
      <c r="L13" s="18">
        <f t="shared" si="19"/>
        <v>0</v>
      </c>
      <c r="N13" s="18">
        <v>0</v>
      </c>
    </row>
    <row r="14" spans="1:17" x14ac:dyDescent="0.25">
      <c r="A14" s="2" t="s">
        <v>11</v>
      </c>
      <c r="B14" s="2" t="s">
        <v>72</v>
      </c>
      <c r="C14" s="18">
        <f t="shared" si="10"/>
        <v>0</v>
      </c>
      <c r="D14" s="18">
        <f t="shared" si="11"/>
        <v>0</v>
      </c>
      <c r="E14" s="18">
        <f t="shared" si="12"/>
        <v>0</v>
      </c>
      <c r="F14" s="18">
        <f t="shared" si="13"/>
        <v>0</v>
      </c>
      <c r="G14" s="18">
        <f t="shared" si="14"/>
        <v>0</v>
      </c>
      <c r="H14" s="18">
        <f t="shared" si="15"/>
        <v>0</v>
      </c>
      <c r="I14" s="18">
        <f t="shared" si="16"/>
        <v>0</v>
      </c>
      <c r="J14" s="18">
        <f t="shared" si="17"/>
        <v>0</v>
      </c>
      <c r="K14" s="18">
        <f t="shared" si="18"/>
        <v>0</v>
      </c>
      <c r="L14" s="18">
        <f t="shared" si="19"/>
        <v>0</v>
      </c>
      <c r="N14" s="18">
        <v>0</v>
      </c>
    </row>
    <row r="15" spans="1:17" x14ac:dyDescent="0.25">
      <c r="A15" s="2" t="s">
        <v>12</v>
      </c>
      <c r="B15" s="2" t="s">
        <v>23</v>
      </c>
      <c r="C15" s="18">
        <f t="shared" si="10"/>
        <v>0</v>
      </c>
      <c r="D15" s="18">
        <f t="shared" si="11"/>
        <v>0</v>
      </c>
      <c r="E15" s="18">
        <f t="shared" si="12"/>
        <v>0</v>
      </c>
      <c r="F15" s="18">
        <f t="shared" si="13"/>
        <v>0</v>
      </c>
      <c r="G15" s="18">
        <f t="shared" si="14"/>
        <v>0</v>
      </c>
      <c r="H15" s="18">
        <f t="shared" si="15"/>
        <v>0</v>
      </c>
      <c r="I15" s="18">
        <f t="shared" si="16"/>
        <v>0</v>
      </c>
      <c r="J15" s="18">
        <f t="shared" si="17"/>
        <v>0</v>
      </c>
      <c r="K15" s="18">
        <f t="shared" si="18"/>
        <v>0</v>
      </c>
      <c r="L15" s="18">
        <f t="shared" si="19"/>
        <v>0</v>
      </c>
      <c r="N15" s="18">
        <v>0</v>
      </c>
    </row>
    <row r="16" spans="1:17" x14ac:dyDescent="0.25">
      <c r="A16" s="2" t="s">
        <v>13</v>
      </c>
      <c r="B16" s="2" t="s">
        <v>23</v>
      </c>
      <c r="C16" s="18">
        <f t="shared" si="10"/>
        <v>0</v>
      </c>
      <c r="D16" s="18">
        <f t="shared" si="11"/>
        <v>0</v>
      </c>
      <c r="E16" s="18">
        <f t="shared" si="12"/>
        <v>0</v>
      </c>
      <c r="F16" s="18">
        <f t="shared" si="13"/>
        <v>0</v>
      </c>
      <c r="G16" s="18">
        <f t="shared" si="14"/>
        <v>0</v>
      </c>
      <c r="H16" s="18">
        <f t="shared" si="15"/>
        <v>0</v>
      </c>
      <c r="I16" s="18">
        <f t="shared" si="16"/>
        <v>0</v>
      </c>
      <c r="J16" s="18">
        <f t="shared" si="17"/>
        <v>0</v>
      </c>
      <c r="K16" s="18">
        <f t="shared" si="18"/>
        <v>0</v>
      </c>
      <c r="L16" s="18">
        <f t="shared" si="19"/>
        <v>0</v>
      </c>
      <c r="N16" s="18">
        <v>0</v>
      </c>
    </row>
    <row r="17" spans="1:14" x14ac:dyDescent="0.25">
      <c r="A17" s="2" t="s">
        <v>14</v>
      </c>
      <c r="B17" s="2" t="s">
        <v>23</v>
      </c>
      <c r="C17" s="18">
        <f t="shared" si="10"/>
        <v>0</v>
      </c>
      <c r="D17" s="18">
        <f t="shared" si="11"/>
        <v>0</v>
      </c>
      <c r="E17" s="18">
        <f t="shared" si="12"/>
        <v>0</v>
      </c>
      <c r="F17" s="18">
        <f t="shared" si="13"/>
        <v>0</v>
      </c>
      <c r="G17" s="18">
        <f t="shared" si="14"/>
        <v>0</v>
      </c>
      <c r="H17" s="18">
        <f t="shared" si="15"/>
        <v>0</v>
      </c>
      <c r="I17" s="18">
        <f t="shared" si="16"/>
        <v>0</v>
      </c>
      <c r="J17" s="18">
        <f t="shared" si="17"/>
        <v>0</v>
      </c>
      <c r="K17" s="18">
        <f t="shared" si="18"/>
        <v>0</v>
      </c>
      <c r="L17" s="18">
        <f t="shared" si="19"/>
        <v>0</v>
      </c>
      <c r="N17" s="18">
        <v>0</v>
      </c>
    </row>
    <row r="18" spans="1:14" x14ac:dyDescent="0.25">
      <c r="A18" s="2" t="s">
        <v>15</v>
      </c>
      <c r="B18" s="2" t="s">
        <v>6</v>
      </c>
      <c r="C18" s="19">
        <f t="shared" si="10"/>
        <v>0</v>
      </c>
      <c r="D18" s="19">
        <f t="shared" si="11"/>
        <v>0</v>
      </c>
      <c r="E18" s="18">
        <f t="shared" si="12"/>
        <v>0</v>
      </c>
      <c r="F18" s="18">
        <f t="shared" si="13"/>
        <v>0</v>
      </c>
      <c r="G18" s="18">
        <f t="shared" si="14"/>
        <v>0</v>
      </c>
      <c r="H18" s="18">
        <f t="shared" si="15"/>
        <v>0</v>
      </c>
      <c r="I18" s="18">
        <f t="shared" si="16"/>
        <v>0</v>
      </c>
      <c r="J18" s="18">
        <f t="shared" si="17"/>
        <v>0</v>
      </c>
      <c r="K18" s="18">
        <f t="shared" si="18"/>
        <v>0</v>
      </c>
      <c r="L18" s="18">
        <f t="shared" si="19"/>
        <v>0</v>
      </c>
      <c r="N18" s="18">
        <v>0</v>
      </c>
    </row>
    <row r="19" spans="1:14" x14ac:dyDescent="0.25">
      <c r="A19" s="2" t="s">
        <v>16</v>
      </c>
      <c r="B19" s="2" t="s">
        <v>6</v>
      </c>
      <c r="C19" s="19">
        <f t="shared" si="10"/>
        <v>0</v>
      </c>
      <c r="D19" s="19">
        <f t="shared" si="11"/>
        <v>0</v>
      </c>
      <c r="E19" s="18">
        <f t="shared" si="12"/>
        <v>0</v>
      </c>
      <c r="F19" s="18">
        <f t="shared" si="13"/>
        <v>0</v>
      </c>
      <c r="G19" s="18">
        <f t="shared" si="14"/>
        <v>0</v>
      </c>
      <c r="H19" s="18">
        <f t="shared" si="15"/>
        <v>0</v>
      </c>
      <c r="I19" s="18">
        <f t="shared" si="16"/>
        <v>0</v>
      </c>
      <c r="J19" s="18">
        <f t="shared" si="17"/>
        <v>0</v>
      </c>
      <c r="K19" s="18">
        <f t="shared" si="18"/>
        <v>0</v>
      </c>
      <c r="L19" s="18">
        <f t="shared" si="19"/>
        <v>0</v>
      </c>
      <c r="N19" s="18">
        <v>0</v>
      </c>
    </row>
    <row r="20" spans="1:14" x14ac:dyDescent="0.25">
      <c r="A20" s="2" t="s">
        <v>17</v>
      </c>
      <c r="B20" s="2" t="s">
        <v>6</v>
      </c>
      <c r="C20" s="19">
        <f t="shared" si="10"/>
        <v>0</v>
      </c>
      <c r="D20" s="19">
        <f t="shared" si="11"/>
        <v>0</v>
      </c>
      <c r="E20" s="19">
        <f t="shared" si="12"/>
        <v>0</v>
      </c>
      <c r="F20" s="18">
        <f t="shared" si="13"/>
        <v>0</v>
      </c>
      <c r="G20" s="18">
        <f t="shared" si="14"/>
        <v>0</v>
      </c>
      <c r="H20" s="18">
        <f t="shared" si="15"/>
        <v>0</v>
      </c>
      <c r="I20" s="18">
        <f t="shared" si="16"/>
        <v>0</v>
      </c>
      <c r="J20" s="18">
        <f t="shared" si="17"/>
        <v>0</v>
      </c>
      <c r="K20" s="18">
        <f t="shared" si="18"/>
        <v>0</v>
      </c>
      <c r="L20" s="18">
        <f t="shared" si="19"/>
        <v>0</v>
      </c>
      <c r="N20" s="18">
        <v>0</v>
      </c>
    </row>
    <row r="21" spans="1:14" x14ac:dyDescent="0.25">
      <c r="A21" s="2" t="s">
        <v>18</v>
      </c>
      <c r="B21" s="2" t="s">
        <v>24</v>
      </c>
      <c r="C21" s="19">
        <f t="shared" si="10"/>
        <v>0</v>
      </c>
      <c r="D21" s="19">
        <f t="shared" si="11"/>
        <v>0</v>
      </c>
      <c r="E21" s="19">
        <f t="shared" si="12"/>
        <v>0</v>
      </c>
      <c r="F21" s="18">
        <f t="shared" si="13"/>
        <v>0</v>
      </c>
      <c r="G21" s="18">
        <f t="shared" si="14"/>
        <v>0</v>
      </c>
      <c r="H21" s="18">
        <f t="shared" si="15"/>
        <v>0</v>
      </c>
      <c r="I21" s="18">
        <f t="shared" si="16"/>
        <v>0</v>
      </c>
      <c r="J21" s="18">
        <f t="shared" si="17"/>
        <v>0</v>
      </c>
      <c r="K21" s="18">
        <f t="shared" si="18"/>
        <v>0</v>
      </c>
      <c r="L21" s="18">
        <f t="shared" si="19"/>
        <v>0</v>
      </c>
      <c r="N21" s="18">
        <v>0</v>
      </c>
    </row>
    <row r="22" spans="1:14" x14ac:dyDescent="0.25">
      <c r="A22" s="2" t="s">
        <v>84</v>
      </c>
      <c r="B22" s="2" t="s">
        <v>23</v>
      </c>
      <c r="C22" s="19">
        <f t="shared" si="10"/>
        <v>0</v>
      </c>
      <c r="D22" s="19">
        <f t="shared" si="11"/>
        <v>0</v>
      </c>
      <c r="E22" s="19">
        <f t="shared" si="12"/>
        <v>0</v>
      </c>
      <c r="F22" s="18">
        <f t="shared" si="13"/>
        <v>0</v>
      </c>
      <c r="G22" s="18">
        <f t="shared" si="14"/>
        <v>0</v>
      </c>
      <c r="H22" s="18">
        <f t="shared" si="15"/>
        <v>0</v>
      </c>
      <c r="I22" s="18">
        <f t="shared" si="16"/>
        <v>0</v>
      </c>
      <c r="J22" s="18">
        <f t="shared" si="17"/>
        <v>0</v>
      </c>
      <c r="K22" s="18">
        <f t="shared" si="18"/>
        <v>0</v>
      </c>
      <c r="L22" s="18">
        <f t="shared" si="19"/>
        <v>0</v>
      </c>
      <c r="N22" s="18">
        <v>0</v>
      </c>
    </row>
    <row r="23" spans="1:14" ht="18.75" x14ac:dyDescent="0.3">
      <c r="A23" s="3" t="s">
        <v>19</v>
      </c>
      <c r="B23" s="1"/>
      <c r="C23" s="1"/>
      <c r="J23" s="11"/>
      <c r="K23" s="11"/>
      <c r="L23" s="11"/>
      <c r="N23" t="s">
        <v>142</v>
      </c>
    </row>
    <row r="24" spans="1:14" x14ac:dyDescent="0.25">
      <c r="A24" s="2" t="s">
        <v>11</v>
      </c>
      <c r="B24" s="2" t="s">
        <v>23</v>
      </c>
      <c r="C24" s="19">
        <f>N24</f>
        <v>0</v>
      </c>
      <c r="D24" s="19">
        <f>N24</f>
        <v>0</v>
      </c>
      <c r="E24" s="18">
        <f>N24</f>
        <v>0</v>
      </c>
      <c r="F24" s="18">
        <f>N24</f>
        <v>0</v>
      </c>
      <c r="G24" s="18">
        <f>N24</f>
        <v>0</v>
      </c>
      <c r="H24" s="18">
        <f>N24</f>
        <v>0</v>
      </c>
      <c r="I24" s="18">
        <f>N24</f>
        <v>0</v>
      </c>
      <c r="J24" s="18">
        <f>N24</f>
        <v>0</v>
      </c>
      <c r="K24" s="18">
        <f>N24</f>
        <v>0</v>
      </c>
      <c r="L24" s="18">
        <f>N24</f>
        <v>0</v>
      </c>
      <c r="N24" s="18">
        <v>0</v>
      </c>
    </row>
    <row r="25" spans="1:14" x14ac:dyDescent="0.25">
      <c r="A25" s="2" t="s">
        <v>20</v>
      </c>
      <c r="B25" s="2" t="s">
        <v>6</v>
      </c>
      <c r="C25" s="19">
        <f>N25</f>
        <v>0</v>
      </c>
      <c r="D25" s="19">
        <f>N25</f>
        <v>0</v>
      </c>
      <c r="E25" s="19">
        <f>N25</f>
        <v>0</v>
      </c>
      <c r="F25" s="18">
        <f>N25</f>
        <v>0</v>
      </c>
      <c r="G25" s="18">
        <f>N25</f>
        <v>0</v>
      </c>
      <c r="H25" s="18">
        <f>N25</f>
        <v>0</v>
      </c>
      <c r="I25" s="18">
        <f>N25</f>
        <v>0</v>
      </c>
      <c r="J25" s="18">
        <f>N25</f>
        <v>0</v>
      </c>
      <c r="K25" s="18">
        <f>N25</f>
        <v>0</v>
      </c>
      <c r="L25" s="18">
        <f>N25</f>
        <v>0</v>
      </c>
      <c r="N25" s="18">
        <v>0</v>
      </c>
    </row>
    <row r="26" spans="1:14" ht="18.75" x14ac:dyDescent="0.3">
      <c r="A26" s="3" t="s">
        <v>25</v>
      </c>
      <c r="J26" s="11"/>
      <c r="K26" s="11"/>
      <c r="L26" s="11"/>
    </row>
    <row r="27" spans="1:14" x14ac:dyDescent="0.25">
      <c r="A27" s="2" t="s">
        <v>26</v>
      </c>
      <c r="B27" s="2" t="s">
        <v>14</v>
      </c>
      <c r="C27" s="18">
        <f t="shared" ref="C27:C34" si="20">N27</f>
        <v>0</v>
      </c>
      <c r="D27" s="18">
        <f t="shared" ref="D27:D34" si="21">N27</f>
        <v>0</v>
      </c>
      <c r="E27" s="18">
        <f t="shared" ref="E27:E34" si="22">N27</f>
        <v>0</v>
      </c>
      <c r="F27" s="18">
        <f t="shared" ref="F27:F34" si="23">N27</f>
        <v>0</v>
      </c>
      <c r="G27" s="18">
        <f t="shared" ref="G27:G34" si="24">N27</f>
        <v>0</v>
      </c>
      <c r="H27" s="18">
        <f t="shared" ref="H27:H34" si="25">N27</f>
        <v>0</v>
      </c>
      <c r="I27" s="18">
        <f t="shared" ref="I27:I34" si="26">N27</f>
        <v>0</v>
      </c>
      <c r="J27" s="18">
        <f t="shared" ref="J27:J34" si="27">N27</f>
        <v>0</v>
      </c>
      <c r="K27" s="18">
        <f t="shared" ref="K27:K34" si="28">N27</f>
        <v>0</v>
      </c>
      <c r="L27" s="18">
        <f t="shared" ref="L27:L34" si="29">N27</f>
        <v>0</v>
      </c>
      <c r="N27" s="18">
        <v>0</v>
      </c>
    </row>
    <row r="28" spans="1:14" x14ac:dyDescent="0.25">
      <c r="A28" s="2" t="s">
        <v>27</v>
      </c>
      <c r="B28" s="2" t="s">
        <v>13</v>
      </c>
      <c r="C28" s="18">
        <f t="shared" si="20"/>
        <v>0</v>
      </c>
      <c r="D28" s="18">
        <f t="shared" si="21"/>
        <v>0</v>
      </c>
      <c r="E28" s="18">
        <f t="shared" si="22"/>
        <v>0</v>
      </c>
      <c r="F28" s="18">
        <f t="shared" si="23"/>
        <v>0</v>
      </c>
      <c r="G28" s="18">
        <f t="shared" si="24"/>
        <v>0</v>
      </c>
      <c r="H28" s="18">
        <f t="shared" si="25"/>
        <v>0</v>
      </c>
      <c r="I28" s="18">
        <f t="shared" si="26"/>
        <v>0</v>
      </c>
      <c r="J28" s="18">
        <f t="shared" si="27"/>
        <v>0</v>
      </c>
      <c r="K28" s="18">
        <f t="shared" si="28"/>
        <v>0</v>
      </c>
      <c r="L28" s="18">
        <f t="shared" si="29"/>
        <v>0</v>
      </c>
      <c r="N28" s="18">
        <v>0</v>
      </c>
    </row>
    <row r="29" spans="1:14" x14ac:dyDescent="0.25">
      <c r="A29" s="2" t="s">
        <v>28</v>
      </c>
      <c r="B29" s="2" t="s">
        <v>12</v>
      </c>
      <c r="C29" s="18">
        <f t="shared" si="20"/>
        <v>0</v>
      </c>
      <c r="D29" s="18">
        <f t="shared" si="21"/>
        <v>0</v>
      </c>
      <c r="E29" s="18">
        <f t="shared" si="22"/>
        <v>0</v>
      </c>
      <c r="F29" s="18">
        <f t="shared" si="23"/>
        <v>0</v>
      </c>
      <c r="G29" s="18">
        <f t="shared" si="24"/>
        <v>0</v>
      </c>
      <c r="H29" s="18">
        <f t="shared" si="25"/>
        <v>0</v>
      </c>
      <c r="I29" s="18">
        <f t="shared" si="26"/>
        <v>0</v>
      </c>
      <c r="J29" s="18">
        <f t="shared" si="27"/>
        <v>0</v>
      </c>
      <c r="K29" s="18">
        <f t="shared" si="28"/>
        <v>0</v>
      </c>
      <c r="L29" s="18">
        <f t="shared" si="29"/>
        <v>0</v>
      </c>
      <c r="N29" s="18">
        <v>0</v>
      </c>
    </row>
    <row r="30" spans="1:14" x14ac:dyDescent="0.25">
      <c r="A30" s="2" t="s">
        <v>29</v>
      </c>
      <c r="B30" s="2" t="s">
        <v>12</v>
      </c>
      <c r="C30" s="19">
        <f t="shared" si="20"/>
        <v>0</v>
      </c>
      <c r="D30" s="19">
        <f t="shared" si="21"/>
        <v>0</v>
      </c>
      <c r="E30" s="19">
        <f t="shared" si="22"/>
        <v>0</v>
      </c>
      <c r="F30" s="18">
        <f t="shared" si="23"/>
        <v>0</v>
      </c>
      <c r="G30" s="18">
        <f t="shared" si="24"/>
        <v>0</v>
      </c>
      <c r="H30" s="18">
        <f t="shared" si="25"/>
        <v>0</v>
      </c>
      <c r="I30" s="18">
        <f t="shared" si="26"/>
        <v>0</v>
      </c>
      <c r="J30" s="18">
        <f t="shared" si="27"/>
        <v>0</v>
      </c>
      <c r="K30" s="18">
        <f t="shared" si="28"/>
        <v>0</v>
      </c>
      <c r="L30" s="18">
        <f t="shared" si="29"/>
        <v>0</v>
      </c>
      <c r="N30" s="18">
        <v>0</v>
      </c>
    </row>
    <row r="31" spans="1:14" x14ac:dyDescent="0.25">
      <c r="A31" s="2" t="s">
        <v>30</v>
      </c>
      <c r="B31" s="2" t="s">
        <v>12</v>
      </c>
      <c r="C31" s="19">
        <f t="shared" si="20"/>
        <v>0</v>
      </c>
      <c r="D31" s="19">
        <f t="shared" si="21"/>
        <v>0</v>
      </c>
      <c r="E31" s="19">
        <f t="shared" si="22"/>
        <v>0</v>
      </c>
      <c r="F31" s="18">
        <f t="shared" si="23"/>
        <v>0</v>
      </c>
      <c r="G31" s="18">
        <f t="shared" si="24"/>
        <v>0</v>
      </c>
      <c r="H31" s="18">
        <f t="shared" si="25"/>
        <v>0</v>
      </c>
      <c r="I31" s="18">
        <f t="shared" si="26"/>
        <v>0</v>
      </c>
      <c r="J31" s="18">
        <f t="shared" si="27"/>
        <v>0</v>
      </c>
      <c r="K31" s="18">
        <f t="shared" si="28"/>
        <v>0</v>
      </c>
      <c r="L31" s="18">
        <f t="shared" si="29"/>
        <v>0</v>
      </c>
      <c r="N31" s="18">
        <v>0</v>
      </c>
    </row>
    <row r="32" spans="1:14" x14ac:dyDescent="0.25">
      <c r="A32" s="2" t="s">
        <v>31</v>
      </c>
      <c r="B32" s="2" t="s">
        <v>11</v>
      </c>
      <c r="C32" s="19">
        <f t="shared" si="20"/>
        <v>0</v>
      </c>
      <c r="D32" s="19">
        <f t="shared" si="21"/>
        <v>0</v>
      </c>
      <c r="E32" s="19">
        <f t="shared" si="22"/>
        <v>0</v>
      </c>
      <c r="F32" s="18">
        <f t="shared" si="23"/>
        <v>0</v>
      </c>
      <c r="G32" s="18">
        <f t="shared" si="24"/>
        <v>0</v>
      </c>
      <c r="H32" s="18">
        <f t="shared" si="25"/>
        <v>0</v>
      </c>
      <c r="I32" s="18">
        <f t="shared" si="26"/>
        <v>0</v>
      </c>
      <c r="J32" s="18">
        <f t="shared" si="27"/>
        <v>0</v>
      </c>
      <c r="K32" s="18">
        <f t="shared" si="28"/>
        <v>0</v>
      </c>
      <c r="L32" s="18">
        <f t="shared" si="29"/>
        <v>0</v>
      </c>
      <c r="N32" s="18">
        <v>0</v>
      </c>
    </row>
    <row r="33" spans="1:14" x14ac:dyDescent="0.25">
      <c r="A33" s="2" t="s">
        <v>32</v>
      </c>
      <c r="B33" s="2" t="s">
        <v>11</v>
      </c>
      <c r="C33" s="19">
        <f t="shared" si="20"/>
        <v>0</v>
      </c>
      <c r="D33" s="19">
        <f t="shared" si="21"/>
        <v>0</v>
      </c>
      <c r="E33" s="19">
        <f t="shared" si="22"/>
        <v>0</v>
      </c>
      <c r="F33" s="18">
        <f t="shared" si="23"/>
        <v>0</v>
      </c>
      <c r="G33" s="18">
        <f t="shared" si="24"/>
        <v>0</v>
      </c>
      <c r="H33" s="18">
        <f t="shared" si="25"/>
        <v>0</v>
      </c>
      <c r="I33" s="18">
        <f t="shared" si="26"/>
        <v>0</v>
      </c>
      <c r="J33" s="18">
        <f t="shared" si="27"/>
        <v>0</v>
      </c>
      <c r="K33" s="18">
        <f t="shared" si="28"/>
        <v>0</v>
      </c>
      <c r="L33" s="18">
        <f t="shared" si="29"/>
        <v>0</v>
      </c>
      <c r="N33" s="18">
        <v>0</v>
      </c>
    </row>
    <row r="34" spans="1:14" x14ac:dyDescent="0.25">
      <c r="A34" s="2" t="s">
        <v>33</v>
      </c>
      <c r="B34" s="2" t="s">
        <v>12</v>
      </c>
      <c r="C34" s="19">
        <f t="shared" si="20"/>
        <v>0</v>
      </c>
      <c r="D34" s="19">
        <f t="shared" si="21"/>
        <v>0</v>
      </c>
      <c r="E34" s="19">
        <f t="shared" si="22"/>
        <v>0</v>
      </c>
      <c r="F34" s="18">
        <f t="shared" si="23"/>
        <v>0</v>
      </c>
      <c r="G34" s="18">
        <f t="shared" si="24"/>
        <v>0</v>
      </c>
      <c r="H34" s="18">
        <f t="shared" si="25"/>
        <v>0</v>
      </c>
      <c r="I34" s="18">
        <f t="shared" si="26"/>
        <v>0</v>
      </c>
      <c r="J34" s="18">
        <f t="shared" si="27"/>
        <v>0</v>
      </c>
      <c r="K34" s="18">
        <f t="shared" si="28"/>
        <v>0</v>
      </c>
      <c r="L34" s="18">
        <f t="shared" si="29"/>
        <v>0</v>
      </c>
      <c r="N34" s="18">
        <v>0</v>
      </c>
    </row>
    <row r="35" spans="1:14" ht="18.75" x14ac:dyDescent="0.3">
      <c r="A35" s="3" t="s">
        <v>34</v>
      </c>
      <c r="J35" s="10"/>
      <c r="K35" s="11"/>
      <c r="L35" s="11"/>
    </row>
    <row r="36" spans="1:14" x14ac:dyDescent="0.25">
      <c r="A36" s="2" t="s">
        <v>35</v>
      </c>
      <c r="B36" s="2" t="s">
        <v>36</v>
      </c>
      <c r="C36" s="18">
        <f t="shared" ref="C36:C44" si="30">N36</f>
        <v>0</v>
      </c>
      <c r="D36" s="18">
        <f t="shared" ref="D36:D44" si="31">N36</f>
        <v>0</v>
      </c>
      <c r="E36" s="18">
        <f t="shared" ref="E36:E44" si="32">N36</f>
        <v>0</v>
      </c>
      <c r="F36" s="18">
        <f t="shared" ref="F36:F44" si="33">N36</f>
        <v>0</v>
      </c>
      <c r="G36" s="18">
        <f t="shared" ref="G36:G44" si="34">N36</f>
        <v>0</v>
      </c>
      <c r="H36" s="18">
        <f t="shared" ref="H36:H44" si="35">N36</f>
        <v>0</v>
      </c>
      <c r="I36" s="18">
        <f t="shared" ref="I36:I44" si="36">N36</f>
        <v>0</v>
      </c>
      <c r="J36" s="18">
        <f t="shared" ref="J36:J44" si="37">N36</f>
        <v>0</v>
      </c>
      <c r="K36" s="18">
        <f t="shared" ref="K36:K44" si="38">N36</f>
        <v>0</v>
      </c>
      <c r="L36" s="18">
        <f t="shared" ref="L36:L44" si="39">N36</f>
        <v>0</v>
      </c>
      <c r="N36" s="18">
        <v>0</v>
      </c>
    </row>
    <row r="37" spans="1:14" x14ac:dyDescent="0.25">
      <c r="A37" s="2" t="s">
        <v>37</v>
      </c>
      <c r="B37" s="2" t="s">
        <v>39</v>
      </c>
      <c r="C37" s="25">
        <f t="shared" si="30"/>
        <v>0</v>
      </c>
      <c r="D37" s="25">
        <f t="shared" si="31"/>
        <v>0</v>
      </c>
      <c r="E37" s="25">
        <f t="shared" si="32"/>
        <v>0</v>
      </c>
      <c r="F37" s="25">
        <f t="shared" si="33"/>
        <v>0</v>
      </c>
      <c r="G37" s="25">
        <f t="shared" si="34"/>
        <v>0</v>
      </c>
      <c r="H37" s="25">
        <f t="shared" si="35"/>
        <v>0</v>
      </c>
      <c r="I37" s="25">
        <f t="shared" si="36"/>
        <v>0</v>
      </c>
      <c r="J37" s="25">
        <f t="shared" si="37"/>
        <v>0</v>
      </c>
      <c r="K37" s="25">
        <f t="shared" si="38"/>
        <v>0</v>
      </c>
      <c r="L37" s="22">
        <f t="shared" si="39"/>
        <v>0</v>
      </c>
      <c r="N37" s="22">
        <v>0</v>
      </c>
    </row>
    <row r="38" spans="1:14" x14ac:dyDescent="0.25">
      <c r="A38" s="2" t="s">
        <v>38</v>
      </c>
      <c r="B38" s="2" t="s">
        <v>39</v>
      </c>
      <c r="C38" s="25">
        <f t="shared" si="30"/>
        <v>0</v>
      </c>
      <c r="D38" s="25">
        <f t="shared" si="31"/>
        <v>0</v>
      </c>
      <c r="E38" s="25">
        <f t="shared" si="32"/>
        <v>0</v>
      </c>
      <c r="F38" s="25">
        <f t="shared" si="33"/>
        <v>0</v>
      </c>
      <c r="G38" s="25">
        <f t="shared" si="34"/>
        <v>0</v>
      </c>
      <c r="H38" s="25">
        <f t="shared" si="35"/>
        <v>0</v>
      </c>
      <c r="I38" s="25">
        <f t="shared" si="36"/>
        <v>0</v>
      </c>
      <c r="J38" s="25">
        <f t="shared" si="37"/>
        <v>0</v>
      </c>
      <c r="K38" s="25">
        <f t="shared" si="38"/>
        <v>0</v>
      </c>
      <c r="L38" s="22">
        <f t="shared" si="39"/>
        <v>0</v>
      </c>
      <c r="N38" s="22">
        <v>0</v>
      </c>
    </row>
    <row r="39" spans="1:14" x14ac:dyDescent="0.25">
      <c r="A39" s="2" t="s">
        <v>40</v>
      </c>
      <c r="B39" s="2" t="s">
        <v>39</v>
      </c>
      <c r="C39" s="18">
        <f t="shared" si="30"/>
        <v>0</v>
      </c>
      <c r="D39" s="18">
        <f t="shared" si="31"/>
        <v>0</v>
      </c>
      <c r="E39" s="18">
        <f t="shared" si="32"/>
        <v>0</v>
      </c>
      <c r="F39" s="18">
        <f t="shared" si="33"/>
        <v>0</v>
      </c>
      <c r="G39" s="18">
        <f t="shared" si="34"/>
        <v>0</v>
      </c>
      <c r="H39" s="18">
        <f t="shared" si="35"/>
        <v>0</v>
      </c>
      <c r="I39" s="18">
        <f t="shared" si="36"/>
        <v>0</v>
      </c>
      <c r="J39" s="18">
        <f t="shared" si="37"/>
        <v>0</v>
      </c>
      <c r="K39" s="18">
        <f t="shared" si="38"/>
        <v>0</v>
      </c>
      <c r="L39" s="18">
        <f t="shared" si="39"/>
        <v>0</v>
      </c>
      <c r="N39" s="18">
        <v>0</v>
      </c>
    </row>
    <row r="40" spans="1:14" x14ac:dyDescent="0.25">
      <c r="A40" s="2" t="s">
        <v>41</v>
      </c>
      <c r="B40" s="2" t="s">
        <v>39</v>
      </c>
      <c r="C40" s="26">
        <f t="shared" si="30"/>
        <v>0</v>
      </c>
      <c r="D40" s="26">
        <f t="shared" si="31"/>
        <v>0</v>
      </c>
      <c r="E40" s="26">
        <f t="shared" si="32"/>
        <v>0</v>
      </c>
      <c r="F40" s="26">
        <f t="shared" si="33"/>
        <v>0</v>
      </c>
      <c r="G40" s="26">
        <f t="shared" si="34"/>
        <v>0</v>
      </c>
      <c r="H40" s="26">
        <f t="shared" si="35"/>
        <v>0</v>
      </c>
      <c r="I40" s="26">
        <f t="shared" si="36"/>
        <v>0</v>
      </c>
      <c r="J40" s="26">
        <f t="shared" si="37"/>
        <v>0</v>
      </c>
      <c r="K40" s="26">
        <f t="shared" si="38"/>
        <v>0</v>
      </c>
      <c r="L40" s="26">
        <f t="shared" si="39"/>
        <v>0</v>
      </c>
      <c r="N40" s="26">
        <v>0</v>
      </c>
    </row>
    <row r="41" spans="1:14" x14ac:dyDescent="0.25">
      <c r="A41" s="2" t="s">
        <v>42</v>
      </c>
      <c r="B41" s="2" t="s">
        <v>39</v>
      </c>
      <c r="C41" s="25">
        <f t="shared" si="30"/>
        <v>0</v>
      </c>
      <c r="D41" s="25">
        <f t="shared" si="31"/>
        <v>0</v>
      </c>
      <c r="E41" s="25">
        <f t="shared" si="32"/>
        <v>0</v>
      </c>
      <c r="F41" s="25">
        <f t="shared" si="33"/>
        <v>0</v>
      </c>
      <c r="G41" s="25">
        <f t="shared" si="34"/>
        <v>0</v>
      </c>
      <c r="H41" s="25">
        <f t="shared" si="35"/>
        <v>0</v>
      </c>
      <c r="I41" s="25">
        <f t="shared" si="36"/>
        <v>0</v>
      </c>
      <c r="J41" s="25">
        <f t="shared" si="37"/>
        <v>0</v>
      </c>
      <c r="K41" s="25">
        <f t="shared" si="38"/>
        <v>0</v>
      </c>
      <c r="L41" s="22">
        <f t="shared" si="39"/>
        <v>0</v>
      </c>
      <c r="N41" s="22">
        <v>0</v>
      </c>
    </row>
    <row r="42" spans="1:14" x14ac:dyDescent="0.25">
      <c r="A42" s="2" t="s">
        <v>43</v>
      </c>
      <c r="B42" s="2" t="s">
        <v>45</v>
      </c>
      <c r="C42" s="27">
        <f t="shared" si="30"/>
        <v>0</v>
      </c>
      <c r="D42" s="25">
        <f t="shared" si="31"/>
        <v>0</v>
      </c>
      <c r="E42" s="25">
        <f t="shared" si="32"/>
        <v>0</v>
      </c>
      <c r="F42" s="25">
        <f t="shared" si="33"/>
        <v>0</v>
      </c>
      <c r="G42" s="25">
        <f t="shared" si="34"/>
        <v>0</v>
      </c>
      <c r="H42" s="25">
        <f t="shared" si="35"/>
        <v>0</v>
      </c>
      <c r="I42" s="25">
        <f t="shared" si="36"/>
        <v>0</v>
      </c>
      <c r="J42" s="25">
        <f t="shared" si="37"/>
        <v>0</v>
      </c>
      <c r="K42" s="25">
        <f t="shared" si="38"/>
        <v>0</v>
      </c>
      <c r="L42" s="22">
        <f t="shared" si="39"/>
        <v>0</v>
      </c>
      <c r="N42" s="22">
        <v>0</v>
      </c>
    </row>
    <row r="43" spans="1:14" x14ac:dyDescent="0.25">
      <c r="A43" s="2" t="s">
        <v>46</v>
      </c>
      <c r="B43" s="2" t="s">
        <v>47</v>
      </c>
      <c r="C43" s="28">
        <f t="shared" si="30"/>
        <v>0</v>
      </c>
      <c r="D43" s="18">
        <f t="shared" si="31"/>
        <v>0</v>
      </c>
      <c r="E43" s="18">
        <f t="shared" si="32"/>
        <v>0</v>
      </c>
      <c r="F43" s="18">
        <f t="shared" si="33"/>
        <v>0</v>
      </c>
      <c r="G43" s="18">
        <f t="shared" si="34"/>
        <v>0</v>
      </c>
      <c r="H43" s="18">
        <f t="shared" si="35"/>
        <v>0</v>
      </c>
      <c r="I43" s="18">
        <f t="shared" si="36"/>
        <v>0</v>
      </c>
      <c r="J43" s="18">
        <f t="shared" si="37"/>
        <v>0</v>
      </c>
      <c r="K43" s="18">
        <f t="shared" si="38"/>
        <v>0</v>
      </c>
      <c r="L43" s="18">
        <f t="shared" si="39"/>
        <v>0</v>
      </c>
      <c r="N43" s="18">
        <v>0</v>
      </c>
    </row>
    <row r="44" spans="1:14" x14ac:dyDescent="0.25">
      <c r="A44" s="2" t="s">
        <v>48</v>
      </c>
      <c r="B44" s="2" t="s">
        <v>47</v>
      </c>
      <c r="C44" s="28">
        <f t="shared" si="30"/>
        <v>0</v>
      </c>
      <c r="D44" s="18">
        <f t="shared" si="31"/>
        <v>0</v>
      </c>
      <c r="E44" s="18">
        <f t="shared" si="32"/>
        <v>0</v>
      </c>
      <c r="F44" s="18">
        <f t="shared" si="33"/>
        <v>0</v>
      </c>
      <c r="G44" s="18">
        <f t="shared" si="34"/>
        <v>0</v>
      </c>
      <c r="H44" s="18">
        <f t="shared" si="35"/>
        <v>0</v>
      </c>
      <c r="I44" s="18">
        <f t="shared" si="36"/>
        <v>0</v>
      </c>
      <c r="J44" s="18">
        <f t="shared" si="37"/>
        <v>0</v>
      </c>
      <c r="K44" s="18">
        <f t="shared" si="38"/>
        <v>0</v>
      </c>
      <c r="L44" s="18">
        <f t="shared" si="39"/>
        <v>0</v>
      </c>
      <c r="N44" s="18">
        <v>0</v>
      </c>
    </row>
    <row r="45" spans="1:14" ht="18.75" x14ac:dyDescent="0.3">
      <c r="A45" s="3" t="s">
        <v>49</v>
      </c>
      <c r="J45" s="10"/>
      <c r="K45" s="10"/>
      <c r="L45" s="10"/>
    </row>
    <row r="46" spans="1:14" x14ac:dyDescent="0.25">
      <c r="A46" s="2" t="s">
        <v>50</v>
      </c>
      <c r="B46" s="2"/>
      <c r="C46" s="19">
        <f>N46</f>
        <v>0</v>
      </c>
      <c r="D46" s="19">
        <f>N46</f>
        <v>0</v>
      </c>
      <c r="E46" s="19">
        <f>N46</f>
        <v>0</v>
      </c>
      <c r="F46" s="19">
        <f>N46</f>
        <v>0</v>
      </c>
      <c r="G46" s="19">
        <f>N46</f>
        <v>0</v>
      </c>
      <c r="H46" s="19">
        <f>N46</f>
        <v>0</v>
      </c>
      <c r="I46" s="19">
        <f>N46</f>
        <v>0</v>
      </c>
      <c r="J46" s="19">
        <f>N46</f>
        <v>0</v>
      </c>
      <c r="K46" s="19">
        <f>N46</f>
        <v>0</v>
      </c>
      <c r="L46" s="19">
        <f>N46</f>
        <v>0</v>
      </c>
      <c r="N46" s="19">
        <v>0</v>
      </c>
    </row>
    <row r="47" spans="1:14" x14ac:dyDescent="0.25">
      <c r="A47" s="2" t="s">
        <v>52</v>
      </c>
      <c r="B47" s="2"/>
      <c r="C47" s="19">
        <f>N47</f>
        <v>0</v>
      </c>
      <c r="D47" s="19">
        <f>N47</f>
        <v>0</v>
      </c>
      <c r="E47" s="19">
        <f>N47</f>
        <v>0</v>
      </c>
      <c r="F47" s="19">
        <f>N47</f>
        <v>0</v>
      </c>
      <c r="G47" s="19">
        <f>N47</f>
        <v>0</v>
      </c>
      <c r="H47" s="19">
        <f>N47</f>
        <v>0</v>
      </c>
      <c r="I47" s="19">
        <f>N47</f>
        <v>0</v>
      </c>
      <c r="J47" s="19">
        <f>N47</f>
        <v>0</v>
      </c>
      <c r="K47" s="19">
        <f>N47</f>
        <v>0</v>
      </c>
      <c r="L47" s="19">
        <f>N47</f>
        <v>0</v>
      </c>
      <c r="N47" s="19">
        <v>0</v>
      </c>
    </row>
    <row r="48" spans="1:14" x14ac:dyDescent="0.25">
      <c r="A48" s="2" t="s">
        <v>53</v>
      </c>
      <c r="B48" s="2"/>
      <c r="C48" s="19">
        <f>N48</f>
        <v>0</v>
      </c>
      <c r="D48" s="19">
        <f>N48</f>
        <v>0</v>
      </c>
      <c r="E48" s="19">
        <f>N48</f>
        <v>0</v>
      </c>
      <c r="F48" s="19">
        <f>N48</f>
        <v>0</v>
      </c>
      <c r="G48" s="19">
        <f>N48</f>
        <v>0</v>
      </c>
      <c r="H48" s="19">
        <f>N48</f>
        <v>0</v>
      </c>
      <c r="I48" s="19">
        <f>N48</f>
        <v>0</v>
      </c>
      <c r="J48" s="19">
        <f>N48</f>
        <v>0</v>
      </c>
      <c r="K48" s="19">
        <f>N48</f>
        <v>0</v>
      </c>
      <c r="L48" s="19">
        <f>N48</f>
        <v>0</v>
      </c>
      <c r="N48" s="19">
        <v>0</v>
      </c>
    </row>
    <row r="49" spans="1:25 16384:16384" x14ac:dyDescent="0.25">
      <c r="A49" s="2" t="s">
        <v>54</v>
      </c>
      <c r="C49" s="19">
        <f>N49</f>
        <v>0</v>
      </c>
      <c r="D49" s="19">
        <f>N49</f>
        <v>0</v>
      </c>
      <c r="E49" s="19">
        <f>N49</f>
        <v>0</v>
      </c>
      <c r="F49" s="19">
        <f>N49</f>
        <v>0</v>
      </c>
      <c r="G49" s="19">
        <f>N49</f>
        <v>0</v>
      </c>
      <c r="H49" s="19">
        <f>N49</f>
        <v>0</v>
      </c>
      <c r="I49" s="19">
        <f>N49</f>
        <v>0</v>
      </c>
      <c r="J49" s="19">
        <f>N49</f>
        <v>0</v>
      </c>
      <c r="K49" s="19">
        <f>N49</f>
        <v>0</v>
      </c>
      <c r="L49" s="19">
        <f>N49</f>
        <v>0</v>
      </c>
      <c r="N49" s="19">
        <v>0</v>
      </c>
    </row>
    <row r="50" spans="1:25 16384:16384" x14ac:dyDescent="0.25">
      <c r="A50" s="13" t="s">
        <v>55</v>
      </c>
      <c r="C50" s="31">
        <f t="shared" ref="C50:L50" si="40">$N$50</f>
        <v>0</v>
      </c>
      <c r="D50" s="31">
        <f t="shared" si="40"/>
        <v>0</v>
      </c>
      <c r="E50" s="31">
        <f t="shared" si="40"/>
        <v>0</v>
      </c>
      <c r="F50" s="31">
        <f t="shared" si="40"/>
        <v>0</v>
      </c>
      <c r="G50" s="31">
        <f t="shared" si="40"/>
        <v>0</v>
      </c>
      <c r="H50" s="31">
        <f t="shared" si="40"/>
        <v>0</v>
      </c>
      <c r="I50" s="31">
        <f t="shared" si="40"/>
        <v>0</v>
      </c>
      <c r="J50" s="31">
        <f t="shared" si="40"/>
        <v>0</v>
      </c>
      <c r="K50" s="31">
        <f t="shared" si="40"/>
        <v>0</v>
      </c>
      <c r="L50" s="31">
        <f t="shared" si="40"/>
        <v>0</v>
      </c>
      <c r="N50" s="31">
        <v>0</v>
      </c>
      <c r="O50" s="19" t="s">
        <v>144</v>
      </c>
    </row>
    <row r="51" spans="1:25 16384:16384" x14ac:dyDescent="0.25">
      <c r="A51" s="13" t="s">
        <v>56</v>
      </c>
      <c r="C51" s="31">
        <f t="shared" ref="C51:L51" si="41">$N$51</f>
        <v>0</v>
      </c>
      <c r="D51" s="31">
        <f t="shared" si="41"/>
        <v>0</v>
      </c>
      <c r="E51" s="31">
        <f t="shared" si="41"/>
        <v>0</v>
      </c>
      <c r="F51" s="31">
        <f t="shared" si="41"/>
        <v>0</v>
      </c>
      <c r="G51" s="31">
        <f t="shared" si="41"/>
        <v>0</v>
      </c>
      <c r="H51" s="31">
        <f t="shared" si="41"/>
        <v>0</v>
      </c>
      <c r="I51" s="31">
        <f t="shared" si="41"/>
        <v>0</v>
      </c>
      <c r="J51" s="31">
        <f t="shared" si="41"/>
        <v>0</v>
      </c>
      <c r="K51" s="31">
        <f t="shared" si="41"/>
        <v>0</v>
      </c>
      <c r="L51" s="31">
        <f t="shared" si="41"/>
        <v>0</v>
      </c>
      <c r="N51" s="31">
        <v>0</v>
      </c>
    </row>
    <row r="52" spans="1:25 16384:16384" x14ac:dyDescent="0.25">
      <c r="A52" s="13" t="s">
        <v>63</v>
      </c>
      <c r="C52" s="19">
        <f>N52</f>
        <v>0</v>
      </c>
      <c r="D52" s="19">
        <f>N52</f>
        <v>0</v>
      </c>
      <c r="E52" s="19">
        <f>N52</f>
        <v>0</v>
      </c>
      <c r="F52" s="19">
        <f>N52</f>
        <v>0</v>
      </c>
      <c r="G52" s="19">
        <f>N52</f>
        <v>0</v>
      </c>
      <c r="H52" s="19">
        <f>N52</f>
        <v>0</v>
      </c>
      <c r="I52" s="19">
        <f>N52</f>
        <v>0</v>
      </c>
      <c r="J52" s="19">
        <f>N52</f>
        <v>0</v>
      </c>
      <c r="K52" s="19">
        <f>N52</f>
        <v>0</v>
      </c>
      <c r="L52" s="19">
        <f>N52</f>
        <v>0</v>
      </c>
      <c r="N52" s="19">
        <v>0</v>
      </c>
    </row>
    <row r="53" spans="1:25 16384:16384" x14ac:dyDescent="0.25">
      <c r="A53" s="13" t="s">
        <v>64</v>
      </c>
      <c r="C53" s="19">
        <f>N53</f>
        <v>0</v>
      </c>
      <c r="D53" s="19">
        <f>N53</f>
        <v>0</v>
      </c>
      <c r="E53" s="19">
        <f>N53</f>
        <v>0</v>
      </c>
      <c r="F53" s="19">
        <f>N53</f>
        <v>0</v>
      </c>
      <c r="G53" s="19">
        <f>N53</f>
        <v>0</v>
      </c>
      <c r="H53" s="19">
        <f>N53</f>
        <v>0</v>
      </c>
      <c r="I53" s="19">
        <f>N53</f>
        <v>0</v>
      </c>
      <c r="J53" s="19">
        <f>N53</f>
        <v>0</v>
      </c>
      <c r="K53" s="19">
        <f>N53</f>
        <v>0</v>
      </c>
      <c r="L53" s="19">
        <f>N53</f>
        <v>0</v>
      </c>
      <c r="N53" s="19">
        <v>0</v>
      </c>
    </row>
    <row r="54" spans="1:25 16384:16384" x14ac:dyDescent="0.25">
      <c r="A54" s="13" t="s">
        <v>65</v>
      </c>
      <c r="C54" s="31">
        <f t="shared" ref="C54:K54" si="42">$N$54</f>
        <v>0</v>
      </c>
      <c r="D54" s="31">
        <f t="shared" si="42"/>
        <v>0</v>
      </c>
      <c r="E54" s="31">
        <f t="shared" si="42"/>
        <v>0</v>
      </c>
      <c r="F54" s="31">
        <f t="shared" si="42"/>
        <v>0</v>
      </c>
      <c r="G54" s="31">
        <f t="shared" si="42"/>
        <v>0</v>
      </c>
      <c r="H54" s="31">
        <f t="shared" si="42"/>
        <v>0</v>
      </c>
      <c r="I54" s="31">
        <f t="shared" si="42"/>
        <v>0</v>
      </c>
      <c r="J54" s="31">
        <f t="shared" si="42"/>
        <v>0</v>
      </c>
      <c r="K54" s="31">
        <f t="shared" si="42"/>
        <v>0</v>
      </c>
      <c r="L54" s="31">
        <f>$N$54</f>
        <v>0</v>
      </c>
      <c r="N54" s="31">
        <v>0</v>
      </c>
      <c r="P54" s="2"/>
      <c r="Q54" s="2"/>
      <c r="R54" s="2"/>
      <c r="S54" s="2"/>
      <c r="T54" s="2"/>
      <c r="U54" s="2"/>
      <c r="V54" s="2"/>
      <c r="W54" s="2"/>
      <c r="X54" s="2"/>
      <c r="Y54" s="2"/>
      <c r="XFD54" t="s">
        <v>143</v>
      </c>
    </row>
    <row r="55" spans="1:25 16384:16384" x14ac:dyDescent="0.25">
      <c r="A55" s="13" t="s">
        <v>66</v>
      </c>
      <c r="C55" s="31">
        <f>$N$55</f>
        <v>0</v>
      </c>
      <c r="D55" s="31">
        <f t="shared" ref="D55:L55" si="43">$N$55</f>
        <v>0</v>
      </c>
      <c r="E55" s="31">
        <f t="shared" si="43"/>
        <v>0</v>
      </c>
      <c r="F55" s="31">
        <f t="shared" si="43"/>
        <v>0</v>
      </c>
      <c r="G55" s="31">
        <f t="shared" si="43"/>
        <v>0</v>
      </c>
      <c r="H55" s="31">
        <f t="shared" si="43"/>
        <v>0</v>
      </c>
      <c r="I55" s="31">
        <f t="shared" si="43"/>
        <v>0</v>
      </c>
      <c r="J55" s="31">
        <f t="shared" si="43"/>
        <v>0</v>
      </c>
      <c r="K55" s="31">
        <f t="shared" si="43"/>
        <v>0</v>
      </c>
      <c r="L55" s="31">
        <f t="shared" si="43"/>
        <v>0</v>
      </c>
      <c r="N55" s="31">
        <v>0</v>
      </c>
    </row>
    <row r="56" spans="1:25 16384:16384" x14ac:dyDescent="0.25">
      <c r="A56" s="4" t="s">
        <v>57</v>
      </c>
      <c r="C56" s="19">
        <f>N56</f>
        <v>0</v>
      </c>
      <c r="D56" s="19">
        <f>N56</f>
        <v>0</v>
      </c>
      <c r="E56" s="19">
        <f>N56</f>
        <v>0</v>
      </c>
      <c r="F56" s="19">
        <f>N56</f>
        <v>0</v>
      </c>
      <c r="G56" s="19">
        <f>N56</f>
        <v>0</v>
      </c>
      <c r="H56" s="19">
        <f>N56</f>
        <v>0</v>
      </c>
      <c r="I56" s="19">
        <f>N56</f>
        <v>0</v>
      </c>
      <c r="J56" s="19">
        <f>N56</f>
        <v>0</v>
      </c>
      <c r="K56" s="19">
        <f>N56</f>
        <v>0</v>
      </c>
      <c r="L56" s="19">
        <f>N56</f>
        <v>0</v>
      </c>
      <c r="N56" s="19">
        <v>0</v>
      </c>
    </row>
    <row r="57" spans="1:25 16384:16384" ht="18.75" x14ac:dyDescent="0.3">
      <c r="A57" s="3" t="s">
        <v>59</v>
      </c>
      <c r="J57" s="10"/>
      <c r="K57" s="10"/>
      <c r="L57" s="10"/>
      <c r="N57" s="19"/>
    </row>
    <row r="58" spans="1:25 16384:16384" x14ac:dyDescent="0.25">
      <c r="A58" s="2" t="s">
        <v>60</v>
      </c>
      <c r="C58" s="25">
        <f>N58</f>
        <v>0</v>
      </c>
      <c r="D58" s="25">
        <f>N58</f>
        <v>0</v>
      </c>
      <c r="E58" s="25">
        <f>N58</f>
        <v>0</v>
      </c>
      <c r="F58" s="25">
        <f>N58</f>
        <v>0</v>
      </c>
      <c r="G58" s="25">
        <f>N58</f>
        <v>0</v>
      </c>
      <c r="H58" s="25">
        <f>N58</f>
        <v>0</v>
      </c>
      <c r="I58" s="25">
        <f>N58</f>
        <v>0</v>
      </c>
      <c r="J58" s="25">
        <f>N58</f>
        <v>0</v>
      </c>
      <c r="K58" s="25">
        <f>N58</f>
        <v>0</v>
      </c>
      <c r="L58" s="22">
        <f>N58</f>
        <v>0</v>
      </c>
      <c r="N58" s="24">
        <v>0</v>
      </c>
    </row>
    <row r="59" spans="1:25 16384:16384" x14ac:dyDescent="0.25">
      <c r="A59" s="2" t="s">
        <v>61</v>
      </c>
      <c r="C59" s="25">
        <f>N59</f>
        <v>0</v>
      </c>
      <c r="D59" s="25">
        <f>N59</f>
        <v>0</v>
      </c>
      <c r="E59" s="25">
        <f>N59</f>
        <v>0</v>
      </c>
      <c r="F59" s="25">
        <f>N59</f>
        <v>0</v>
      </c>
      <c r="G59" s="25">
        <f>N59</f>
        <v>0</v>
      </c>
      <c r="H59" s="25">
        <f>N59</f>
        <v>0</v>
      </c>
      <c r="I59" s="25">
        <f>N59</f>
        <v>0</v>
      </c>
      <c r="J59" s="25">
        <f>N59</f>
        <v>0</v>
      </c>
      <c r="K59" s="25">
        <f>N59</f>
        <v>0</v>
      </c>
      <c r="L59" s="22">
        <f>N59</f>
        <v>0</v>
      </c>
      <c r="N59" s="24">
        <v>0</v>
      </c>
    </row>
    <row r="61" spans="1:25 16384:16384" x14ac:dyDescent="0.25">
      <c r="N61" s="19"/>
      <c r="O61" t="s">
        <v>145</v>
      </c>
    </row>
    <row r="62" spans="1:25 16384:16384" x14ac:dyDescent="0.25">
      <c r="O62" t="s">
        <v>146</v>
      </c>
    </row>
    <row r="63" spans="1:25 16384:16384" x14ac:dyDescent="0.25">
      <c r="O63" t="s">
        <v>147</v>
      </c>
    </row>
    <row r="65" spans="1:24" ht="26.25" x14ac:dyDescent="0.4">
      <c r="A65" s="73" t="s">
        <v>148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24" x14ac:dyDescent="0.25">
      <c r="Q66" s="69" t="s">
        <v>155</v>
      </c>
      <c r="R66" s="70"/>
      <c r="T66" s="74" t="s">
        <v>35</v>
      </c>
      <c r="U66" s="75"/>
      <c r="W66" s="74" t="s">
        <v>156</v>
      </c>
      <c r="X66" s="75"/>
    </row>
    <row r="67" spans="1:24" ht="21" x14ac:dyDescent="0.35">
      <c r="D67" s="53" t="s">
        <v>149</v>
      </c>
      <c r="E67" s="53"/>
      <c r="G67" s="32"/>
      <c r="H67" s="54" t="s">
        <v>150</v>
      </c>
      <c r="I67" s="54"/>
      <c r="Q67" s="34">
        <v>4.09</v>
      </c>
      <c r="R67" s="34">
        <v>100</v>
      </c>
      <c r="T67" s="34">
        <v>72</v>
      </c>
      <c r="U67" s="34">
        <v>100</v>
      </c>
      <c r="W67" s="34">
        <v>29</v>
      </c>
      <c r="X67" s="34">
        <v>100</v>
      </c>
    </row>
    <row r="68" spans="1:24" x14ac:dyDescent="0.25">
      <c r="C68" s="6" t="s">
        <v>151</v>
      </c>
      <c r="D68" s="6" t="s">
        <v>21</v>
      </c>
      <c r="E68" s="6" t="s">
        <v>152</v>
      </c>
      <c r="H68" s="6" t="s">
        <v>153</v>
      </c>
      <c r="I68" s="6" t="s">
        <v>154</v>
      </c>
      <c r="Q68" s="34">
        <v>4.1900000000000004</v>
      </c>
      <c r="R68" s="34">
        <v>95</v>
      </c>
      <c r="T68" s="34">
        <v>73</v>
      </c>
      <c r="U68" s="34">
        <v>95</v>
      </c>
      <c r="W68" s="34">
        <v>30</v>
      </c>
      <c r="X68" s="34">
        <v>95</v>
      </c>
    </row>
    <row r="69" spans="1:24" x14ac:dyDescent="0.25">
      <c r="C69" s="33" t="s">
        <v>1</v>
      </c>
      <c r="D69" s="33" t="s">
        <v>22</v>
      </c>
      <c r="E69" s="34">
        <f>N4</f>
        <v>0</v>
      </c>
      <c r="G69" s="33" t="s">
        <v>50</v>
      </c>
      <c r="H69" s="34">
        <f t="shared" ref="H69:H79" si="44">N46</f>
        <v>0</v>
      </c>
      <c r="I69" s="35">
        <f>(H69/21)*100</f>
        <v>0</v>
      </c>
      <c r="Q69" s="34">
        <v>4.29</v>
      </c>
      <c r="R69" s="34">
        <v>90</v>
      </c>
      <c r="T69" s="34">
        <v>74</v>
      </c>
      <c r="U69" s="34">
        <v>90</v>
      </c>
      <c r="W69" s="34">
        <v>31</v>
      </c>
      <c r="X69" s="34">
        <v>90</v>
      </c>
    </row>
    <row r="70" spans="1:24" x14ac:dyDescent="0.25">
      <c r="C70" s="33" t="s">
        <v>2</v>
      </c>
      <c r="D70" s="33" t="s">
        <v>22</v>
      </c>
      <c r="E70" s="34">
        <f>N5</f>
        <v>0</v>
      </c>
      <c r="G70" s="33" t="s">
        <v>157</v>
      </c>
      <c r="H70" s="34">
        <f t="shared" si="44"/>
        <v>0</v>
      </c>
      <c r="I70" s="35">
        <f>(H70/45)*100</f>
        <v>0</v>
      </c>
      <c r="Q70" s="34">
        <v>4.3899999999999997</v>
      </c>
      <c r="R70" s="34">
        <v>85</v>
      </c>
      <c r="T70" s="34">
        <v>75</v>
      </c>
      <c r="U70" s="34">
        <v>85</v>
      </c>
      <c r="W70" s="34">
        <v>32</v>
      </c>
      <c r="X70" s="34">
        <v>85</v>
      </c>
    </row>
    <row r="71" spans="1:24" x14ac:dyDescent="0.25">
      <c r="C71" s="33" t="s">
        <v>3</v>
      </c>
      <c r="D71" s="33" t="s">
        <v>22</v>
      </c>
      <c r="E71" s="34">
        <f>N6</f>
        <v>0</v>
      </c>
      <c r="G71" s="33" t="s">
        <v>158</v>
      </c>
      <c r="H71" s="34">
        <f t="shared" si="44"/>
        <v>0</v>
      </c>
      <c r="I71" s="35">
        <f>(H71/15)*100</f>
        <v>0</v>
      </c>
      <c r="Q71" s="34">
        <v>4.49</v>
      </c>
      <c r="R71" s="34">
        <v>80</v>
      </c>
      <c r="T71" s="34">
        <v>76</v>
      </c>
      <c r="U71" s="34">
        <v>80</v>
      </c>
      <c r="W71" s="34">
        <v>33</v>
      </c>
      <c r="X71" s="34">
        <v>80</v>
      </c>
    </row>
    <row r="72" spans="1:24" x14ac:dyDescent="0.25">
      <c r="C72" s="33" t="s">
        <v>4</v>
      </c>
      <c r="D72" s="33" t="s">
        <v>22</v>
      </c>
      <c r="E72" s="34">
        <f>N7</f>
        <v>0</v>
      </c>
      <c r="G72" s="62" t="s">
        <v>159</v>
      </c>
      <c r="H72" s="34">
        <f t="shared" si="44"/>
        <v>0</v>
      </c>
      <c r="I72" s="35">
        <f>(H72/45)*100</f>
        <v>0</v>
      </c>
      <c r="Q72" s="34">
        <v>4.59</v>
      </c>
      <c r="R72" s="34">
        <v>75</v>
      </c>
      <c r="T72" s="34">
        <v>77</v>
      </c>
      <c r="U72" s="34">
        <v>75</v>
      </c>
      <c r="W72" s="34">
        <v>34</v>
      </c>
      <c r="X72" s="34">
        <v>75</v>
      </c>
    </row>
    <row r="73" spans="1:24" x14ac:dyDescent="0.25">
      <c r="C73" s="33" t="s">
        <v>5</v>
      </c>
      <c r="D73" s="33" t="s">
        <v>22</v>
      </c>
      <c r="E73" s="34">
        <f>N7</f>
        <v>0</v>
      </c>
      <c r="G73" s="55" t="s">
        <v>160</v>
      </c>
      <c r="H73" s="56">
        <f t="shared" si="44"/>
        <v>0</v>
      </c>
      <c r="I73" s="35">
        <f>(H73/24)*100</f>
        <v>0</v>
      </c>
      <c r="Q73" s="34">
        <v>4.6900000000000004</v>
      </c>
      <c r="R73" s="34">
        <v>70</v>
      </c>
      <c r="T73" s="34">
        <v>78</v>
      </c>
      <c r="U73" s="34">
        <v>70</v>
      </c>
      <c r="W73" s="34">
        <v>35</v>
      </c>
      <c r="X73" s="34">
        <v>70</v>
      </c>
    </row>
    <row r="74" spans="1:24" x14ac:dyDescent="0.25">
      <c r="C74" s="33" t="s">
        <v>6</v>
      </c>
      <c r="D74" s="33" t="s">
        <v>1</v>
      </c>
      <c r="E74" s="34">
        <f>N8</f>
        <v>0</v>
      </c>
      <c r="G74" s="63" t="s">
        <v>161</v>
      </c>
      <c r="H74" s="56">
        <f t="shared" si="44"/>
        <v>0</v>
      </c>
      <c r="I74" s="35">
        <f>(H74/24)*100</f>
        <v>0</v>
      </c>
      <c r="Q74" s="34">
        <v>4.79</v>
      </c>
      <c r="R74" s="34">
        <v>65</v>
      </c>
      <c r="T74" s="34">
        <v>79</v>
      </c>
      <c r="U74" s="34">
        <v>65</v>
      </c>
      <c r="W74" s="34">
        <v>36</v>
      </c>
      <c r="X74" s="34">
        <v>65</v>
      </c>
    </row>
    <row r="75" spans="1:24" x14ac:dyDescent="0.25">
      <c r="C75" s="33" t="s">
        <v>7</v>
      </c>
      <c r="D75" s="33" t="s">
        <v>2</v>
      </c>
      <c r="E75" s="34">
        <f>N9</f>
        <v>0</v>
      </c>
      <c r="G75" s="33" t="s">
        <v>162</v>
      </c>
      <c r="H75" s="34">
        <f t="shared" si="44"/>
        <v>0</v>
      </c>
      <c r="I75" s="35">
        <f>(H75/240)*100</f>
        <v>0</v>
      </c>
      <c r="Q75" s="34">
        <v>4.8899999999999997</v>
      </c>
      <c r="R75" s="34">
        <v>60</v>
      </c>
      <c r="T75" s="34">
        <v>80</v>
      </c>
      <c r="U75" s="34">
        <v>60</v>
      </c>
      <c r="W75" s="34">
        <v>37</v>
      </c>
      <c r="X75" s="34">
        <v>60</v>
      </c>
    </row>
    <row r="76" spans="1:24" x14ac:dyDescent="0.25">
      <c r="D76" s="36" t="s">
        <v>163</v>
      </c>
      <c r="E76" s="34">
        <f>SUM(E69:E75)</f>
        <v>0</v>
      </c>
      <c r="G76" s="33" t="s">
        <v>164</v>
      </c>
      <c r="H76" s="34">
        <f t="shared" si="44"/>
        <v>0</v>
      </c>
      <c r="I76" s="35">
        <f>(H76/240)*100</f>
        <v>0</v>
      </c>
      <c r="Q76" s="34">
        <v>4.99</v>
      </c>
      <c r="R76" s="34">
        <v>55</v>
      </c>
      <c r="T76" s="34">
        <v>81</v>
      </c>
      <c r="U76" s="34">
        <v>55</v>
      </c>
      <c r="W76" s="34">
        <v>38</v>
      </c>
      <c r="X76" s="34">
        <v>55</v>
      </c>
    </row>
    <row r="77" spans="1:24" x14ac:dyDescent="0.25">
      <c r="E77" s="19"/>
      <c r="G77" s="33" t="s">
        <v>165</v>
      </c>
      <c r="H77" s="56">
        <f t="shared" si="44"/>
        <v>0</v>
      </c>
      <c r="I77" s="35">
        <f>(H77/2.04)*100</f>
        <v>0</v>
      </c>
      <c r="Q77" s="34">
        <v>5.0900000000000096</v>
      </c>
      <c r="R77" s="34">
        <v>50</v>
      </c>
      <c r="T77" s="34">
        <v>82</v>
      </c>
      <c r="U77" s="34">
        <v>50</v>
      </c>
      <c r="W77" s="34">
        <v>39</v>
      </c>
      <c r="X77" s="34">
        <v>50</v>
      </c>
    </row>
    <row r="78" spans="1:24" x14ac:dyDescent="0.25">
      <c r="C78" s="6" t="s">
        <v>8</v>
      </c>
      <c r="D78" s="6" t="s">
        <v>21</v>
      </c>
      <c r="E78" s="6" t="s">
        <v>166</v>
      </c>
      <c r="G78" s="37" t="s">
        <v>167</v>
      </c>
      <c r="H78" s="57">
        <f t="shared" si="44"/>
        <v>0</v>
      </c>
      <c r="I78" s="39">
        <f>(H78/8)*100</f>
        <v>0</v>
      </c>
      <c r="Q78" s="34">
        <v>5.1900000000000102</v>
      </c>
      <c r="R78" s="34">
        <v>45</v>
      </c>
      <c r="T78" s="34">
        <v>83</v>
      </c>
      <c r="U78" s="34">
        <v>45</v>
      </c>
      <c r="W78" s="34">
        <v>40</v>
      </c>
      <c r="X78" s="34">
        <v>45</v>
      </c>
    </row>
    <row r="79" spans="1:24" x14ac:dyDescent="0.25">
      <c r="C79" s="33" t="s">
        <v>10</v>
      </c>
      <c r="D79" s="33" t="s">
        <v>2</v>
      </c>
      <c r="E79" s="34">
        <f t="shared" ref="E79:E89" si="45">N12</f>
        <v>0</v>
      </c>
      <c r="G79" s="40" t="s">
        <v>168</v>
      </c>
      <c r="H79" s="34">
        <f t="shared" si="44"/>
        <v>0</v>
      </c>
      <c r="I79" s="39">
        <v>42</v>
      </c>
      <c r="Q79" s="34">
        <v>5.2900000000000098</v>
      </c>
      <c r="R79" s="34">
        <v>40</v>
      </c>
      <c r="T79" s="34">
        <v>84</v>
      </c>
      <c r="U79" s="34">
        <v>40</v>
      </c>
      <c r="W79" s="34">
        <v>41</v>
      </c>
      <c r="X79" s="34">
        <v>40</v>
      </c>
    </row>
    <row r="80" spans="1:24" x14ac:dyDescent="0.25">
      <c r="C80" s="33" t="s">
        <v>9</v>
      </c>
      <c r="D80" s="33" t="s">
        <v>2</v>
      </c>
      <c r="E80" s="34">
        <f t="shared" si="45"/>
        <v>0</v>
      </c>
      <c r="G80" s="10"/>
      <c r="H80" s="41" t="s">
        <v>169</v>
      </c>
      <c r="I80" s="42">
        <f>SUM(H69:H78)+(I79)</f>
        <v>42</v>
      </c>
      <c r="Q80" s="34">
        <v>5.3900000000000103</v>
      </c>
      <c r="R80" s="34">
        <v>35</v>
      </c>
      <c r="T80" s="34">
        <v>85</v>
      </c>
      <c r="U80" s="34">
        <v>35</v>
      </c>
      <c r="W80" s="34">
        <v>42</v>
      </c>
      <c r="X80" s="34">
        <v>35</v>
      </c>
    </row>
    <row r="81" spans="3:24" x14ac:dyDescent="0.25">
      <c r="C81" s="33" t="s">
        <v>11</v>
      </c>
      <c r="D81" s="33" t="s">
        <v>72</v>
      </c>
      <c r="E81" s="34">
        <f t="shared" si="45"/>
        <v>0</v>
      </c>
      <c r="H81" s="43" t="s">
        <v>170</v>
      </c>
      <c r="I81" s="44">
        <f>(I80/790)*33</f>
        <v>1.7544303797468355</v>
      </c>
      <c r="Q81" s="34">
        <v>5.49000000000001</v>
      </c>
      <c r="R81" s="34">
        <v>30</v>
      </c>
      <c r="T81" s="34">
        <v>86</v>
      </c>
      <c r="U81" s="34">
        <v>30</v>
      </c>
      <c r="W81" s="34">
        <v>43</v>
      </c>
      <c r="X81" s="34">
        <v>30</v>
      </c>
    </row>
    <row r="82" spans="3:24" ht="15" customHeight="1" x14ac:dyDescent="0.35">
      <c r="C82" s="33" t="s">
        <v>12</v>
      </c>
      <c r="D82" s="33" t="s">
        <v>23</v>
      </c>
      <c r="E82" s="34">
        <f t="shared" si="45"/>
        <v>0</v>
      </c>
      <c r="G82" s="45"/>
      <c r="H82" s="46"/>
      <c r="I82" s="46"/>
      <c r="Q82" s="34">
        <v>5.5900000000000096</v>
      </c>
      <c r="R82" s="34">
        <v>25</v>
      </c>
      <c r="T82" s="34">
        <v>87</v>
      </c>
      <c r="U82" s="34">
        <v>25</v>
      </c>
      <c r="W82" s="34">
        <v>44</v>
      </c>
      <c r="X82" s="34">
        <v>25</v>
      </c>
    </row>
    <row r="83" spans="3:24" ht="15" customHeight="1" x14ac:dyDescent="0.25">
      <c r="C83" s="33" t="s">
        <v>13</v>
      </c>
      <c r="D83" s="33" t="s">
        <v>23</v>
      </c>
      <c r="E83" s="34">
        <f t="shared" si="45"/>
        <v>0</v>
      </c>
      <c r="G83" s="68" t="s">
        <v>171</v>
      </c>
      <c r="H83" s="68"/>
      <c r="I83" s="68"/>
      <c r="Q83" s="34">
        <v>5.6900000000000102</v>
      </c>
      <c r="R83" s="34">
        <v>20</v>
      </c>
      <c r="T83" s="34">
        <v>88</v>
      </c>
      <c r="U83" s="34">
        <v>20</v>
      </c>
      <c r="W83" s="34">
        <v>45</v>
      </c>
      <c r="X83" s="34">
        <v>20</v>
      </c>
    </row>
    <row r="84" spans="3:24" ht="15" customHeight="1" x14ac:dyDescent="0.25">
      <c r="C84" s="33" t="s">
        <v>14</v>
      </c>
      <c r="D84" s="33" t="s">
        <v>23</v>
      </c>
      <c r="E84" s="34">
        <f t="shared" si="45"/>
        <v>0</v>
      </c>
      <c r="G84" s="68"/>
      <c r="H84" s="68"/>
      <c r="I84" s="68"/>
      <c r="Q84" s="34">
        <v>5.7900000000000098</v>
      </c>
      <c r="R84" s="34">
        <v>15</v>
      </c>
      <c r="T84" s="34">
        <v>89</v>
      </c>
      <c r="U84" s="34">
        <v>15</v>
      </c>
      <c r="W84" s="34">
        <v>46</v>
      </c>
      <c r="X84" s="34">
        <v>15</v>
      </c>
    </row>
    <row r="85" spans="3:24" x14ac:dyDescent="0.25">
      <c r="C85" s="33" t="s">
        <v>15</v>
      </c>
      <c r="D85" s="33" t="s">
        <v>6</v>
      </c>
      <c r="E85" s="34">
        <f t="shared" si="45"/>
        <v>0</v>
      </c>
      <c r="G85" s="10"/>
      <c r="H85" s="47" t="s">
        <v>172</v>
      </c>
      <c r="I85" s="47" t="s">
        <v>154</v>
      </c>
      <c r="Q85" s="34">
        <v>5.8900000000000103</v>
      </c>
      <c r="R85" s="34">
        <v>10</v>
      </c>
      <c r="T85" s="34">
        <v>90</v>
      </c>
      <c r="U85" s="34">
        <v>10</v>
      </c>
      <c r="W85" s="34">
        <v>47</v>
      </c>
      <c r="X85" s="34">
        <v>10</v>
      </c>
    </row>
    <row r="86" spans="3:24" x14ac:dyDescent="0.25">
      <c r="C86" s="33" t="s">
        <v>173</v>
      </c>
      <c r="D86" s="33" t="s">
        <v>6</v>
      </c>
      <c r="E86" s="34">
        <f t="shared" si="45"/>
        <v>0</v>
      </c>
      <c r="G86" s="37" t="s">
        <v>35</v>
      </c>
      <c r="H86" s="38">
        <f t="shared" ref="H86:H94" si="46">N36</f>
        <v>0</v>
      </c>
      <c r="I86" s="39">
        <v>85</v>
      </c>
      <c r="Q86" s="34">
        <v>5.99000000000001</v>
      </c>
      <c r="R86" s="34">
        <v>5</v>
      </c>
      <c r="T86" s="34">
        <v>91</v>
      </c>
      <c r="U86" s="34">
        <v>5</v>
      </c>
      <c r="W86" s="34">
        <v>48</v>
      </c>
      <c r="X86" s="34">
        <v>5</v>
      </c>
    </row>
    <row r="87" spans="3:24" x14ac:dyDescent="0.25">
      <c r="C87" s="33" t="s">
        <v>17</v>
      </c>
      <c r="D87" s="33" t="s">
        <v>6</v>
      </c>
      <c r="E87" s="34">
        <f t="shared" si="45"/>
        <v>0</v>
      </c>
      <c r="G87" s="61" t="s">
        <v>174</v>
      </c>
      <c r="H87" s="60">
        <f t="shared" si="46"/>
        <v>0</v>
      </c>
      <c r="I87" s="39">
        <f>(H87/60%)*100</f>
        <v>0</v>
      </c>
    </row>
    <row r="88" spans="3:24" x14ac:dyDescent="0.25">
      <c r="C88" s="33" t="s">
        <v>18</v>
      </c>
      <c r="D88" s="33" t="s">
        <v>24</v>
      </c>
      <c r="E88" s="34">
        <f t="shared" si="45"/>
        <v>0</v>
      </c>
      <c r="G88" s="37" t="s">
        <v>175</v>
      </c>
      <c r="H88" s="60">
        <f t="shared" si="46"/>
        <v>0</v>
      </c>
      <c r="I88" s="39">
        <f>(H88/50%)*100</f>
        <v>0</v>
      </c>
      <c r="Q88" s="69" t="s">
        <v>177</v>
      </c>
      <c r="R88" s="70"/>
      <c r="T88" s="69" t="s">
        <v>178</v>
      </c>
      <c r="U88" s="70"/>
      <c r="W88" s="69" t="s">
        <v>179</v>
      </c>
      <c r="X88" s="70"/>
    </row>
    <row r="89" spans="3:24" x14ac:dyDescent="0.25">
      <c r="C89" s="33" t="s">
        <v>176</v>
      </c>
      <c r="D89" s="33" t="s">
        <v>23</v>
      </c>
      <c r="E89" s="34">
        <f t="shared" si="45"/>
        <v>0</v>
      </c>
      <c r="G89" s="37" t="s">
        <v>156</v>
      </c>
      <c r="H89" s="38">
        <f t="shared" si="46"/>
        <v>0</v>
      </c>
      <c r="I89" s="39">
        <v>115</v>
      </c>
      <c r="Q89" s="34">
        <v>1.67</v>
      </c>
      <c r="R89" s="34">
        <v>100</v>
      </c>
      <c r="T89" s="34">
        <v>43</v>
      </c>
      <c r="U89" s="34">
        <v>100</v>
      </c>
      <c r="W89" s="34">
        <v>47</v>
      </c>
      <c r="X89" s="34">
        <v>100</v>
      </c>
    </row>
    <row r="90" spans="3:24" x14ac:dyDescent="0.25">
      <c r="D90" s="36" t="s">
        <v>163</v>
      </c>
      <c r="E90" s="34">
        <f>SUM(E79:E89)</f>
        <v>0</v>
      </c>
      <c r="G90" s="37" t="s">
        <v>177</v>
      </c>
      <c r="H90" s="59">
        <f t="shared" si="46"/>
        <v>0</v>
      </c>
      <c r="I90" s="39">
        <v>93</v>
      </c>
      <c r="Q90" s="34">
        <v>1.77</v>
      </c>
      <c r="R90" s="34">
        <v>95</v>
      </c>
      <c r="T90" s="34">
        <v>45</v>
      </c>
      <c r="U90" s="34">
        <v>95</v>
      </c>
      <c r="W90" s="34">
        <v>49</v>
      </c>
      <c r="X90" s="34">
        <v>95</v>
      </c>
    </row>
    <row r="91" spans="3:24" x14ac:dyDescent="0.25">
      <c r="E91" s="19"/>
      <c r="G91" s="37" t="s">
        <v>180</v>
      </c>
      <c r="H91" s="58">
        <f t="shared" si="46"/>
        <v>0</v>
      </c>
      <c r="I91" s="39">
        <f>(H91/40%)*100</f>
        <v>0</v>
      </c>
      <c r="Q91" s="34">
        <v>1.87</v>
      </c>
      <c r="R91" s="34">
        <v>90</v>
      </c>
      <c r="T91" s="34">
        <v>47</v>
      </c>
      <c r="U91" s="34">
        <v>90</v>
      </c>
      <c r="W91" s="34">
        <v>51</v>
      </c>
      <c r="X91" s="34">
        <v>90</v>
      </c>
    </row>
    <row r="92" spans="3:24" x14ac:dyDescent="0.25">
      <c r="C92" s="6" t="s">
        <v>181</v>
      </c>
      <c r="D92" s="6" t="s">
        <v>21</v>
      </c>
      <c r="E92" s="6" t="s">
        <v>152</v>
      </c>
      <c r="G92" s="37" t="s">
        <v>182</v>
      </c>
      <c r="H92" s="58">
        <f t="shared" si="46"/>
        <v>0</v>
      </c>
      <c r="I92" s="39">
        <f>(H92/81%)*100</f>
        <v>0</v>
      </c>
      <c r="Q92" s="34">
        <v>2</v>
      </c>
      <c r="R92" s="34">
        <v>85</v>
      </c>
      <c r="T92" s="34">
        <v>49</v>
      </c>
      <c r="U92" s="34">
        <v>85</v>
      </c>
      <c r="W92" s="34">
        <v>53</v>
      </c>
      <c r="X92" s="34">
        <v>85</v>
      </c>
    </row>
    <row r="93" spans="3:24" x14ac:dyDescent="0.25">
      <c r="C93" s="33" t="s">
        <v>11</v>
      </c>
      <c r="D93" s="33" t="s">
        <v>23</v>
      </c>
      <c r="E93" s="34">
        <f>N24</f>
        <v>0</v>
      </c>
      <c r="G93" s="37" t="s">
        <v>183</v>
      </c>
      <c r="H93" s="38">
        <f t="shared" si="46"/>
        <v>0</v>
      </c>
      <c r="I93" s="39">
        <v>110</v>
      </c>
      <c r="Q93" s="34">
        <v>2.0699999999999998</v>
      </c>
      <c r="R93" s="34">
        <v>80</v>
      </c>
      <c r="T93" s="34">
        <v>51</v>
      </c>
      <c r="U93" s="34">
        <v>80</v>
      </c>
      <c r="W93" s="34">
        <v>55</v>
      </c>
      <c r="X93" s="34">
        <v>80</v>
      </c>
    </row>
    <row r="94" spans="3:24" x14ac:dyDescent="0.25">
      <c r="C94" s="33" t="s">
        <v>20</v>
      </c>
      <c r="D94" s="33" t="s">
        <v>6</v>
      </c>
      <c r="E94" s="34">
        <f>N25</f>
        <v>0</v>
      </c>
      <c r="G94" s="37" t="s">
        <v>184</v>
      </c>
      <c r="H94" s="38">
        <f t="shared" si="46"/>
        <v>0</v>
      </c>
      <c r="I94" s="39">
        <v>95</v>
      </c>
      <c r="Q94" s="34">
        <v>2.1850000000000001</v>
      </c>
      <c r="R94" s="34">
        <v>75</v>
      </c>
      <c r="T94" s="34">
        <v>53</v>
      </c>
      <c r="U94" s="34">
        <v>75</v>
      </c>
      <c r="W94" s="34">
        <v>57</v>
      </c>
      <c r="X94" s="34">
        <v>75</v>
      </c>
    </row>
    <row r="95" spans="3:24" x14ac:dyDescent="0.25">
      <c r="D95" s="36" t="s">
        <v>185</v>
      </c>
      <c r="E95" s="34">
        <f>SUM(E93:E94)</f>
        <v>0</v>
      </c>
      <c r="H95" s="48" t="s">
        <v>169</v>
      </c>
      <c r="I95" s="49">
        <f>SUM(I86:I94)</f>
        <v>498</v>
      </c>
      <c r="Q95" s="34">
        <v>2.2879999999999998</v>
      </c>
      <c r="R95" s="34">
        <v>70</v>
      </c>
      <c r="T95" s="34">
        <v>55</v>
      </c>
      <c r="U95" s="34">
        <v>70</v>
      </c>
      <c r="W95" s="34">
        <v>59</v>
      </c>
      <c r="X95" s="34">
        <v>70</v>
      </c>
    </row>
    <row r="96" spans="3:24" x14ac:dyDescent="0.25">
      <c r="E96" s="19"/>
      <c r="H96" s="43" t="s">
        <v>186</v>
      </c>
      <c r="I96" s="44">
        <f>(I95/900)*33</f>
        <v>18.260000000000002</v>
      </c>
      <c r="Q96" s="34">
        <v>2.391</v>
      </c>
      <c r="R96" s="34">
        <v>65</v>
      </c>
      <c r="T96" s="34">
        <v>57</v>
      </c>
      <c r="U96" s="34">
        <v>65</v>
      </c>
      <c r="W96" s="34">
        <v>61</v>
      </c>
      <c r="X96" s="34">
        <v>65</v>
      </c>
    </row>
    <row r="97" spans="3:24" x14ac:dyDescent="0.25">
      <c r="C97" s="6" t="s">
        <v>25</v>
      </c>
      <c r="D97" s="6" t="s">
        <v>187</v>
      </c>
      <c r="E97" s="6" t="s">
        <v>188</v>
      </c>
      <c r="Q97" s="34">
        <v>2.4940000000000002</v>
      </c>
      <c r="R97" s="34">
        <v>60</v>
      </c>
      <c r="T97" s="34">
        <v>59</v>
      </c>
      <c r="U97" s="34">
        <v>60</v>
      </c>
      <c r="W97" s="34">
        <v>63</v>
      </c>
      <c r="X97" s="34">
        <v>60</v>
      </c>
    </row>
    <row r="98" spans="3:24" x14ac:dyDescent="0.25">
      <c r="C98" s="33" t="s">
        <v>189</v>
      </c>
      <c r="D98" s="33" t="s">
        <v>14</v>
      </c>
      <c r="E98" s="34">
        <f>N27</f>
        <v>0</v>
      </c>
      <c r="G98" s="1" t="s">
        <v>190</v>
      </c>
      <c r="H98" s="1"/>
      <c r="I98" s="1"/>
      <c r="Q98" s="34">
        <v>2.597</v>
      </c>
      <c r="R98" s="34">
        <v>55</v>
      </c>
      <c r="T98" s="34">
        <v>61</v>
      </c>
      <c r="U98" s="34">
        <v>55</v>
      </c>
      <c r="W98" s="34">
        <v>65</v>
      </c>
      <c r="X98" s="34">
        <v>55</v>
      </c>
    </row>
    <row r="99" spans="3:24" x14ac:dyDescent="0.25">
      <c r="C99" s="33" t="s">
        <v>191</v>
      </c>
      <c r="D99" s="33" t="s">
        <v>13</v>
      </c>
      <c r="E99" s="34">
        <f>N28</f>
        <v>0</v>
      </c>
      <c r="G99" s="2" t="s">
        <v>192</v>
      </c>
      <c r="Q99" s="34">
        <v>2.7</v>
      </c>
      <c r="R99" s="34">
        <v>50</v>
      </c>
      <c r="T99" s="34">
        <v>63</v>
      </c>
      <c r="U99" s="34">
        <v>50</v>
      </c>
      <c r="W99" s="34">
        <v>67</v>
      </c>
      <c r="X99" s="34">
        <v>50</v>
      </c>
    </row>
    <row r="100" spans="3:24" x14ac:dyDescent="0.25">
      <c r="C100" s="33" t="s">
        <v>193</v>
      </c>
      <c r="D100" s="33" t="s">
        <v>12</v>
      </c>
      <c r="E100" s="34">
        <f>N29</f>
        <v>0</v>
      </c>
      <c r="G100" s="2" t="s">
        <v>194</v>
      </c>
      <c r="Q100" s="34">
        <v>2.8029999999999999</v>
      </c>
      <c r="R100" s="34">
        <v>45</v>
      </c>
      <c r="T100" s="34">
        <v>65</v>
      </c>
      <c r="U100" s="34">
        <v>45</v>
      </c>
      <c r="W100" s="34">
        <v>69</v>
      </c>
      <c r="X100" s="34">
        <v>45</v>
      </c>
    </row>
    <row r="101" spans="3:24" x14ac:dyDescent="0.25">
      <c r="E101" s="50" t="s">
        <v>166</v>
      </c>
      <c r="G101" s="2" t="s">
        <v>195</v>
      </c>
      <c r="Q101" s="34">
        <v>2.9060000000000001</v>
      </c>
      <c r="R101" s="34">
        <v>40</v>
      </c>
      <c r="T101" s="34">
        <v>67</v>
      </c>
      <c r="U101" s="34">
        <v>40</v>
      </c>
      <c r="W101" s="34">
        <v>71</v>
      </c>
      <c r="X101" s="34">
        <v>40</v>
      </c>
    </row>
    <row r="102" spans="3:24" x14ac:dyDescent="0.25">
      <c r="C102" s="33" t="s">
        <v>29</v>
      </c>
      <c r="D102" s="33" t="s">
        <v>12</v>
      </c>
      <c r="E102" s="34">
        <f>N30</f>
        <v>0</v>
      </c>
      <c r="G102" s="2" t="s">
        <v>196</v>
      </c>
      <c r="Q102" s="34">
        <v>3.0089999999999999</v>
      </c>
      <c r="R102" s="34">
        <v>35</v>
      </c>
      <c r="T102" s="34">
        <v>69</v>
      </c>
      <c r="U102" s="34">
        <v>35</v>
      </c>
      <c r="W102" s="34">
        <v>73</v>
      </c>
      <c r="X102" s="34">
        <v>35</v>
      </c>
    </row>
    <row r="103" spans="3:24" x14ac:dyDescent="0.25">
      <c r="C103" s="33" t="s">
        <v>30</v>
      </c>
      <c r="D103" s="33" t="s">
        <v>12</v>
      </c>
      <c r="E103" s="34">
        <f>N31</f>
        <v>0</v>
      </c>
      <c r="G103" s="2" t="s">
        <v>197</v>
      </c>
      <c r="H103" s="51">
        <f>1+E111+I81+I96</f>
        <v>21.014430379746837</v>
      </c>
      <c r="Q103" s="34">
        <v>3.1120000000000001</v>
      </c>
      <c r="R103" s="34">
        <v>30</v>
      </c>
      <c r="T103" s="34">
        <v>71</v>
      </c>
      <c r="U103" s="34">
        <v>30</v>
      </c>
      <c r="W103" s="34">
        <v>75</v>
      </c>
      <c r="X103" s="34">
        <v>30</v>
      </c>
    </row>
    <row r="104" spans="3:24" x14ac:dyDescent="0.25">
      <c r="C104" s="33" t="s">
        <v>31</v>
      </c>
      <c r="D104" s="33" t="s">
        <v>11</v>
      </c>
      <c r="E104" s="34">
        <f>N32</f>
        <v>0</v>
      </c>
      <c r="Q104" s="34">
        <v>3.2149999999999999</v>
      </c>
      <c r="R104" s="34">
        <v>25</v>
      </c>
      <c r="T104" s="34">
        <v>73</v>
      </c>
      <c r="U104" s="34">
        <v>25</v>
      </c>
      <c r="W104" s="34">
        <v>77</v>
      </c>
      <c r="X104" s="34">
        <v>25</v>
      </c>
    </row>
    <row r="105" spans="3:24" x14ac:dyDescent="0.25">
      <c r="C105" s="33" t="s">
        <v>32</v>
      </c>
      <c r="D105" s="33" t="s">
        <v>11</v>
      </c>
      <c r="E105" s="34">
        <f>N33</f>
        <v>0</v>
      </c>
      <c r="Q105" s="34">
        <v>3.3180000000000001</v>
      </c>
      <c r="R105" s="34">
        <v>20</v>
      </c>
      <c r="T105" s="34">
        <v>75</v>
      </c>
      <c r="U105" s="34">
        <v>20</v>
      </c>
      <c r="W105" s="34">
        <v>79</v>
      </c>
      <c r="X105" s="34">
        <v>20</v>
      </c>
    </row>
    <row r="106" spans="3:24" x14ac:dyDescent="0.25">
      <c r="D106" s="48"/>
      <c r="E106" s="50" t="s">
        <v>198</v>
      </c>
      <c r="Q106" s="34">
        <v>3.4209999999999998</v>
      </c>
      <c r="R106" s="34">
        <v>15</v>
      </c>
      <c r="T106" s="34">
        <v>77</v>
      </c>
      <c r="U106" s="34">
        <v>15</v>
      </c>
      <c r="W106" s="34">
        <v>81</v>
      </c>
      <c r="X106" s="34">
        <v>15</v>
      </c>
    </row>
    <row r="107" spans="3:24" x14ac:dyDescent="0.25">
      <c r="C107" s="64" t="s">
        <v>199</v>
      </c>
      <c r="D107" s="52" t="s">
        <v>12</v>
      </c>
      <c r="E107" s="34">
        <f>N34</f>
        <v>0</v>
      </c>
      <c r="Q107" s="34">
        <v>3.524</v>
      </c>
      <c r="R107" s="34">
        <v>10</v>
      </c>
      <c r="T107" s="34">
        <v>79</v>
      </c>
      <c r="U107" s="34">
        <v>10</v>
      </c>
      <c r="W107" s="34">
        <v>83</v>
      </c>
      <c r="X107" s="34">
        <v>10</v>
      </c>
    </row>
    <row r="108" spans="3:24" x14ac:dyDescent="0.25">
      <c r="D108" s="36" t="s">
        <v>185</v>
      </c>
      <c r="E108" s="34">
        <f>SUM(E98:E107)</f>
        <v>0</v>
      </c>
      <c r="Q108" s="34">
        <v>3.6269999999999998</v>
      </c>
      <c r="R108" s="34">
        <v>5</v>
      </c>
      <c r="T108" s="34">
        <v>81</v>
      </c>
      <c r="U108" s="34">
        <v>5</v>
      </c>
      <c r="W108" s="34">
        <v>85</v>
      </c>
      <c r="X108" s="34">
        <v>5</v>
      </c>
    </row>
    <row r="110" spans="3:24" x14ac:dyDescent="0.25">
      <c r="D110" s="36" t="s">
        <v>200</v>
      </c>
      <c r="E110" s="6">
        <f>SUM(E76+E90+E95+E108)</f>
        <v>0</v>
      </c>
    </row>
    <row r="111" spans="3:24" x14ac:dyDescent="0.25">
      <c r="D111" s="43" t="s">
        <v>201</v>
      </c>
      <c r="E111" s="44">
        <f>(E110/123)*33</f>
        <v>0</v>
      </c>
    </row>
  </sheetData>
  <autoFilter ref="A3:L59"/>
  <mergeCells count="10">
    <mergeCell ref="G83:I84"/>
    <mergeCell ref="Q88:R88"/>
    <mergeCell ref="T88:U88"/>
    <mergeCell ref="W88:X88"/>
    <mergeCell ref="A1:O1"/>
    <mergeCell ref="N2:O2"/>
    <mergeCell ref="A65:L65"/>
    <mergeCell ref="Q66:R66"/>
    <mergeCell ref="T66:U66"/>
    <mergeCell ref="W66:X66"/>
  </mergeCells>
  <conditionalFormatting sqref="C4">
    <cfRule type="cellIs" dxfId="3059" priority="603" operator="greaterThan">
      <formula>3</formula>
    </cfRule>
    <cfRule type="cellIs" dxfId="3058" priority="604" operator="lessThan">
      <formula>3</formula>
    </cfRule>
    <cfRule type="cellIs" dxfId="3057" priority="612" operator="equal">
      <formula>3</formula>
    </cfRule>
  </conditionalFormatting>
  <conditionalFormatting sqref="C5">
    <cfRule type="cellIs" dxfId="3056" priority="602" operator="lessThan">
      <formula>2</formula>
    </cfRule>
    <cfRule type="cellIs" dxfId="3055" priority="610" operator="greaterThan">
      <formula>2</formula>
    </cfRule>
    <cfRule type="cellIs" dxfId="3054" priority="611" operator="equal">
      <formula>2</formula>
    </cfRule>
  </conditionalFormatting>
  <conditionalFormatting sqref="C6:D6">
    <cfRule type="cellIs" dxfId="3053" priority="601" operator="lessThan">
      <formula>2</formula>
    </cfRule>
    <cfRule type="cellIs" dxfId="3052" priority="609" operator="greaterThan">
      <formula>1.9</formula>
    </cfRule>
  </conditionalFormatting>
  <conditionalFormatting sqref="C7:D7">
    <cfRule type="cellIs" dxfId="3051" priority="600" operator="lessThan">
      <formula>1</formula>
    </cfRule>
    <cfRule type="cellIs" dxfId="3050" priority="608" operator="greaterThan">
      <formula>0.9</formula>
    </cfRule>
  </conditionalFormatting>
  <conditionalFormatting sqref="C8:D8">
    <cfRule type="cellIs" dxfId="3049" priority="597" operator="greaterThan">
      <formula>0.9</formula>
    </cfRule>
    <cfRule type="cellIs" dxfId="3048" priority="598" operator="greaterThan">
      <formula>1</formula>
    </cfRule>
    <cfRule type="cellIs" dxfId="3047" priority="607" operator="equal">
      <formula>0</formula>
    </cfRule>
  </conditionalFormatting>
  <conditionalFormatting sqref="C9">
    <cfRule type="cellIs" dxfId="3046" priority="606" operator="greaterThan">
      <formula>0</formula>
    </cfRule>
  </conditionalFormatting>
  <conditionalFormatting sqref="C10">
    <cfRule type="cellIs" dxfId="3045" priority="605" operator="greaterThan">
      <formula>0</formula>
    </cfRule>
  </conditionalFormatting>
  <conditionalFormatting sqref="C9:C10">
    <cfRule type="cellIs" dxfId="3044" priority="599" operator="equal">
      <formula>0</formula>
    </cfRule>
  </conditionalFormatting>
  <conditionalFormatting sqref="L4">
    <cfRule type="cellIs" dxfId="3043" priority="596" operator="lessThan">
      <formula>4</formula>
    </cfRule>
  </conditionalFormatting>
  <conditionalFormatting sqref="L5:L7">
    <cfRule type="cellIs" dxfId="3042" priority="595" operator="lessThan">
      <formula>4</formula>
    </cfRule>
  </conditionalFormatting>
  <conditionalFormatting sqref="L8">
    <cfRule type="cellIs" dxfId="3041" priority="591" operator="greaterThan">
      <formula>1.9</formula>
    </cfRule>
    <cfRule type="cellIs" dxfId="3040" priority="594" operator="lessThan">
      <formula>2</formula>
    </cfRule>
  </conditionalFormatting>
  <conditionalFormatting sqref="L9:L10">
    <cfRule type="cellIs" dxfId="3039" priority="590" operator="greaterThan">
      <formula>2.9</formula>
    </cfRule>
    <cfRule type="cellIs" dxfId="3038" priority="593" operator="lessThan">
      <formula>3</formula>
    </cfRule>
  </conditionalFormatting>
  <conditionalFormatting sqref="L4:L7">
    <cfRule type="cellIs" dxfId="3037" priority="592" operator="greaterThan">
      <formula>3.9</formula>
    </cfRule>
  </conditionalFormatting>
  <conditionalFormatting sqref="L12:L15">
    <cfRule type="cellIs" dxfId="3036" priority="588" operator="lessThan">
      <formula>3.9</formula>
    </cfRule>
    <cfRule type="cellIs" dxfId="3035" priority="589" operator="greaterThan">
      <formula>3.9</formula>
    </cfRule>
  </conditionalFormatting>
  <conditionalFormatting sqref="L18:L21">
    <cfRule type="cellIs" dxfId="3034" priority="586" operator="lessThan">
      <formula>2.9</formula>
    </cfRule>
    <cfRule type="cellIs" dxfId="3033" priority="587" operator="greaterThan">
      <formula>2.9</formula>
    </cfRule>
  </conditionalFormatting>
  <conditionalFormatting sqref="L16">
    <cfRule type="cellIs" dxfId="3032" priority="584" operator="lessThan">
      <formula>2.9</formula>
    </cfRule>
    <cfRule type="cellIs" dxfId="3031" priority="585" operator="greaterThan">
      <formula>2.9</formula>
    </cfRule>
  </conditionalFormatting>
  <conditionalFormatting sqref="L17">
    <cfRule type="cellIs" dxfId="3030" priority="582" operator="lessThan">
      <formula>1.9</formula>
    </cfRule>
    <cfRule type="cellIs" dxfId="3029" priority="583" operator="greaterThan">
      <formula>1.9</formula>
    </cfRule>
  </conditionalFormatting>
  <conditionalFormatting sqref="L22">
    <cfRule type="cellIs" dxfId="3028" priority="580" operator="lessThan">
      <formula>3.9</formula>
    </cfRule>
    <cfRule type="cellIs" dxfId="3027" priority="581" operator="greaterThan">
      <formula>3.9</formula>
    </cfRule>
  </conditionalFormatting>
  <conditionalFormatting sqref="K12:K14">
    <cfRule type="cellIs" dxfId="3026" priority="578" operator="lessThan">
      <formula>3.9</formula>
    </cfRule>
    <cfRule type="cellIs" dxfId="3025" priority="579" operator="greaterThan">
      <formula>3.9</formula>
    </cfRule>
  </conditionalFormatting>
  <conditionalFormatting sqref="J12:J13">
    <cfRule type="cellIs" dxfId="3024" priority="576" operator="lessThan">
      <formula>3.9</formula>
    </cfRule>
    <cfRule type="cellIs" dxfId="3023" priority="577" operator="greaterThan">
      <formula>3.9</formula>
    </cfRule>
  </conditionalFormatting>
  <conditionalFormatting sqref="I12:I13">
    <cfRule type="cellIs" dxfId="3022" priority="574" operator="lessThan">
      <formula>3.9</formula>
    </cfRule>
    <cfRule type="cellIs" dxfId="3021" priority="575" operator="greaterThan">
      <formula>3.9</formula>
    </cfRule>
  </conditionalFormatting>
  <conditionalFormatting sqref="H12:H13">
    <cfRule type="cellIs" dxfId="3020" priority="572" operator="lessThan">
      <formula>3.9</formula>
    </cfRule>
    <cfRule type="cellIs" dxfId="3019" priority="573" operator="greaterThan">
      <formula>3.9</formula>
    </cfRule>
  </conditionalFormatting>
  <conditionalFormatting sqref="G12:G13">
    <cfRule type="cellIs" dxfId="3018" priority="570" operator="lessThan">
      <formula>3.9</formula>
    </cfRule>
    <cfRule type="cellIs" dxfId="3017" priority="571" operator="greaterThan">
      <formula>3.9</formula>
    </cfRule>
  </conditionalFormatting>
  <conditionalFormatting sqref="L24">
    <cfRule type="cellIs" dxfId="3016" priority="568" operator="lessThan">
      <formula>3.9</formula>
    </cfRule>
    <cfRule type="cellIs" dxfId="3015" priority="569" operator="greaterThan">
      <formula>3.9</formula>
    </cfRule>
  </conditionalFormatting>
  <conditionalFormatting sqref="L25">
    <cfRule type="cellIs" dxfId="3014" priority="566" operator="lessThan">
      <formula>2.9</formula>
    </cfRule>
    <cfRule type="cellIs" dxfId="3013" priority="567" operator="greaterThan">
      <formula>2.9</formula>
    </cfRule>
  </conditionalFormatting>
  <conditionalFormatting sqref="L27:L29">
    <cfRule type="cellIs" dxfId="3012" priority="564" operator="lessThan">
      <formula>4.9</formula>
    </cfRule>
    <cfRule type="cellIs" dxfId="3011" priority="565" operator="greaterThan">
      <formula>4.9</formula>
    </cfRule>
  </conditionalFormatting>
  <conditionalFormatting sqref="L30">
    <cfRule type="cellIs" dxfId="3010" priority="562" operator="lessThan">
      <formula>2.9</formula>
    </cfRule>
    <cfRule type="cellIs" dxfId="3009" priority="563" operator="greaterThan">
      <formula>2.9</formula>
    </cfRule>
  </conditionalFormatting>
  <conditionalFormatting sqref="L31">
    <cfRule type="cellIs" dxfId="3008" priority="560" operator="lessThan">
      <formula>2.9</formula>
    </cfRule>
    <cfRule type="cellIs" dxfId="3007" priority="561" operator="greaterThan">
      <formula>2.9</formula>
    </cfRule>
  </conditionalFormatting>
  <conditionalFormatting sqref="L32">
    <cfRule type="cellIs" dxfId="3006" priority="558" operator="lessThan">
      <formula>2.9</formula>
    </cfRule>
    <cfRule type="cellIs" dxfId="3005" priority="559" operator="greaterThan">
      <formula>2.9</formula>
    </cfRule>
  </conditionalFormatting>
  <conditionalFormatting sqref="L33">
    <cfRule type="cellIs" dxfId="3004" priority="556" operator="lessThan">
      <formula>2.9</formula>
    </cfRule>
    <cfRule type="cellIs" dxfId="3003" priority="557" operator="greaterThan">
      <formula>2.9</formula>
    </cfRule>
  </conditionalFormatting>
  <conditionalFormatting sqref="L34">
    <cfRule type="cellIs" dxfId="3002" priority="554" operator="lessThan">
      <formula>6.9</formula>
    </cfRule>
    <cfRule type="cellIs" dxfId="3001" priority="555" operator="greaterThan">
      <formula>6.9</formula>
    </cfRule>
  </conditionalFormatting>
  <conditionalFormatting sqref="L36">
    <cfRule type="cellIs" dxfId="3000" priority="551" operator="equal">
      <formula>2</formula>
    </cfRule>
    <cfRule type="cellIs" dxfId="2999" priority="552" operator="lessThan">
      <formula>2</formula>
    </cfRule>
    <cfRule type="cellIs" dxfId="2998" priority="553" operator="greaterThan">
      <formula>2</formula>
    </cfRule>
  </conditionalFormatting>
  <conditionalFormatting sqref="L37">
    <cfRule type="cellIs" dxfId="2997" priority="549" operator="lessThan">
      <formula>0.599</formula>
    </cfRule>
    <cfRule type="cellIs" dxfId="2996" priority="550" operator="greaterThan">
      <formula>0.599</formula>
    </cfRule>
  </conditionalFormatting>
  <conditionalFormatting sqref="L38">
    <cfRule type="cellIs" dxfId="2995" priority="547" operator="lessThan">
      <formula>0.499</formula>
    </cfRule>
    <cfRule type="cellIs" dxfId="2994" priority="548" operator="greaterThan">
      <formula>0.499</formula>
    </cfRule>
  </conditionalFormatting>
  <conditionalFormatting sqref="L39">
    <cfRule type="cellIs" dxfId="2993" priority="544" operator="equal">
      <formula>30</formula>
    </cfRule>
    <cfRule type="cellIs" dxfId="2992" priority="545" operator="greaterThan">
      <formula>30</formula>
    </cfRule>
    <cfRule type="cellIs" dxfId="2991" priority="546" operator="lessThan">
      <formula>30</formula>
    </cfRule>
  </conditionalFormatting>
  <conditionalFormatting sqref="L40">
    <cfRule type="cellIs" dxfId="2990" priority="542" operator="greaterThan">
      <formula>1.67</formula>
    </cfRule>
    <cfRule type="cellIs" dxfId="2989" priority="543" operator="lessThan">
      <formula>1.68</formula>
    </cfRule>
  </conditionalFormatting>
  <conditionalFormatting sqref="L41">
    <cfRule type="cellIs" dxfId="2988" priority="540" operator="lessThan">
      <formula>0.4</formula>
    </cfRule>
    <cfRule type="cellIs" dxfId="2987" priority="541" operator="greaterThan">
      <formula>0.399</formula>
    </cfRule>
  </conditionalFormatting>
  <conditionalFormatting sqref="L42">
    <cfRule type="cellIs" dxfId="2986" priority="537" operator="equal">
      <formula>0.8</formula>
    </cfRule>
    <cfRule type="cellIs" dxfId="2985" priority="538" operator="lessThan">
      <formula>0.8</formula>
    </cfRule>
    <cfRule type="cellIs" dxfId="2984" priority="539" operator="greaterThan">
      <formula>0.8</formula>
    </cfRule>
  </conditionalFormatting>
  <conditionalFormatting sqref="K43:L43">
    <cfRule type="cellIs" dxfId="2983" priority="535" operator="greaterThan">
      <formula>42</formula>
    </cfRule>
    <cfRule type="cellIs" dxfId="2982" priority="536" operator="lessThan">
      <formula>43</formula>
    </cfRule>
  </conditionalFormatting>
  <conditionalFormatting sqref="K44:L44">
    <cfRule type="cellIs" dxfId="2981" priority="533" operator="greaterThan">
      <formula>46</formula>
    </cfRule>
    <cfRule type="cellIs" dxfId="2980" priority="534" operator="lessThan">
      <formula>47</formula>
    </cfRule>
  </conditionalFormatting>
  <conditionalFormatting sqref="L46">
    <cfRule type="cellIs" dxfId="2979" priority="531" operator="lessThan">
      <formula>19</formula>
    </cfRule>
    <cfRule type="cellIs" dxfId="2978" priority="532" operator="greaterThan">
      <formula>18</formula>
    </cfRule>
  </conditionalFormatting>
  <conditionalFormatting sqref="L47">
    <cfRule type="cellIs" dxfId="2977" priority="529" operator="lessThan">
      <formula>45</formula>
    </cfRule>
    <cfRule type="cellIs" dxfId="2976" priority="530" operator="greaterThan">
      <formula>44</formula>
    </cfRule>
  </conditionalFormatting>
  <conditionalFormatting sqref="L48">
    <cfRule type="cellIs" dxfId="2975" priority="527" operator="lessThan">
      <formula>15</formula>
    </cfRule>
    <cfRule type="cellIs" dxfId="2974" priority="528" operator="greaterThan">
      <formula>14</formula>
    </cfRule>
  </conditionalFormatting>
  <conditionalFormatting sqref="L49">
    <cfRule type="cellIs" dxfId="2973" priority="525" operator="lessThan">
      <formula>44</formula>
    </cfRule>
    <cfRule type="cellIs" dxfId="2972" priority="526" operator="greaterThan">
      <formula>44</formula>
    </cfRule>
  </conditionalFormatting>
  <conditionalFormatting sqref="L52:L53">
    <cfRule type="cellIs" dxfId="2971" priority="523" operator="lessThan">
      <formula>240</formula>
    </cfRule>
    <cfRule type="cellIs" dxfId="2970" priority="524" operator="greaterThan">
      <formula>239</formula>
    </cfRule>
  </conditionalFormatting>
  <conditionalFormatting sqref="L56">
    <cfRule type="cellIs" dxfId="2969" priority="521" operator="lessThan">
      <formula>4.1</formula>
    </cfRule>
    <cfRule type="cellIs" dxfId="2968" priority="522" operator="greaterThan">
      <formula>4.09</formula>
    </cfRule>
  </conditionalFormatting>
  <conditionalFormatting sqref="L58:L59">
    <cfRule type="cellIs" dxfId="2967" priority="519" operator="lessThan">
      <formula>0.81</formula>
    </cfRule>
    <cfRule type="cellIs" dxfId="2966" priority="520" operator="greaterThan">
      <formula>0.8</formula>
    </cfRule>
  </conditionalFormatting>
  <conditionalFormatting sqref="K4:K7">
    <cfRule type="cellIs" dxfId="2965" priority="518" operator="lessThan">
      <formula>4</formula>
    </cfRule>
  </conditionalFormatting>
  <conditionalFormatting sqref="K4:K7">
    <cfRule type="cellIs" dxfId="2964" priority="517" operator="greaterThan">
      <formula>3.9</formula>
    </cfRule>
  </conditionalFormatting>
  <conditionalFormatting sqref="K8">
    <cfRule type="cellIs" dxfId="2963" priority="514" operator="greaterThan">
      <formula>1.9</formula>
    </cfRule>
    <cfRule type="cellIs" dxfId="2962" priority="516" operator="lessThan">
      <formula>2</formula>
    </cfRule>
  </conditionalFormatting>
  <conditionalFormatting sqref="K9:K10">
    <cfRule type="cellIs" dxfId="2961" priority="513" operator="greaterThan">
      <formula>2.9</formula>
    </cfRule>
    <cfRule type="cellIs" dxfId="2960" priority="515" operator="lessThan">
      <formula>3</formula>
    </cfRule>
  </conditionalFormatting>
  <conditionalFormatting sqref="I4:J7 F4:H6 E4:E5">
    <cfRule type="cellIs" dxfId="2959" priority="512" operator="lessThan">
      <formula>4</formula>
    </cfRule>
  </conditionalFormatting>
  <conditionalFormatting sqref="I4:J7 F4:H6 E4:E5">
    <cfRule type="cellIs" dxfId="2958" priority="511" operator="greaterThan">
      <formula>3.9</formula>
    </cfRule>
  </conditionalFormatting>
  <conditionalFormatting sqref="J8">
    <cfRule type="cellIs" dxfId="2957" priority="508" operator="greaterThan">
      <formula>1.9</formula>
    </cfRule>
    <cfRule type="cellIs" dxfId="2956" priority="510" operator="lessThan">
      <formula>2</formula>
    </cfRule>
  </conditionalFormatting>
  <conditionalFormatting sqref="J9:J10">
    <cfRule type="cellIs" dxfId="2955" priority="507" operator="greaterThan">
      <formula>2.9</formula>
    </cfRule>
    <cfRule type="cellIs" dxfId="2954" priority="509" operator="lessThan">
      <formula>3</formula>
    </cfRule>
  </conditionalFormatting>
  <conditionalFormatting sqref="F12">
    <cfRule type="cellIs" dxfId="2953" priority="505" operator="lessThan">
      <formula>2.9</formula>
    </cfRule>
    <cfRule type="cellIs" dxfId="2952" priority="506" operator="greaterThan">
      <formula>2.9</formula>
    </cfRule>
  </conditionalFormatting>
  <conditionalFormatting sqref="F13">
    <cfRule type="cellIs" dxfId="2951" priority="503" operator="lessThan">
      <formula>2.9</formula>
    </cfRule>
    <cfRule type="cellIs" dxfId="2950" priority="504" operator="greaterThan">
      <formula>2.9</formula>
    </cfRule>
  </conditionalFormatting>
  <conditionalFormatting sqref="K15">
    <cfRule type="cellIs" dxfId="2949" priority="501" operator="lessThan">
      <formula>2.9</formula>
    </cfRule>
    <cfRule type="cellIs" dxfId="2948" priority="502" operator="greaterThan">
      <formula>2.9</formula>
    </cfRule>
  </conditionalFormatting>
  <conditionalFormatting sqref="J14">
    <cfRule type="cellIs" dxfId="2947" priority="499" operator="lessThan">
      <formula>2.9</formula>
    </cfRule>
    <cfRule type="cellIs" dxfId="2946" priority="500" operator="greaterThan">
      <formula>2.9</formula>
    </cfRule>
  </conditionalFormatting>
  <conditionalFormatting sqref="I16:K16 J15 I14:I15 I17:J20 K17:K21">
    <cfRule type="cellIs" dxfId="2945" priority="497" operator="lessThan">
      <formula>1.9</formula>
    </cfRule>
    <cfRule type="cellIs" dxfId="2944" priority="498" operator="greaterThan">
      <formula>1.9</formula>
    </cfRule>
  </conditionalFormatting>
  <conditionalFormatting sqref="G14:H14">
    <cfRule type="cellIs" dxfId="2943" priority="495" operator="lessThan">
      <formula>1.9</formula>
    </cfRule>
    <cfRule type="cellIs" dxfId="2942" priority="496" operator="greaterThan">
      <formula>1.9</formula>
    </cfRule>
  </conditionalFormatting>
  <conditionalFormatting sqref="E6">
    <cfRule type="cellIs" dxfId="2941" priority="493" operator="lessThan">
      <formula>2.9</formula>
    </cfRule>
    <cfRule type="cellIs" dxfId="2940" priority="494" operator="greaterThan">
      <formula>2.9</formula>
    </cfRule>
  </conditionalFormatting>
  <conditionalFormatting sqref="K22">
    <cfRule type="cellIs" dxfId="2939" priority="491" operator="lessThan">
      <formula>2.9</formula>
    </cfRule>
    <cfRule type="cellIs" dxfId="2938" priority="492" operator="greaterThan">
      <formula>2.9</formula>
    </cfRule>
  </conditionalFormatting>
  <conditionalFormatting sqref="H7">
    <cfRule type="cellIs" dxfId="2937" priority="489" operator="lessThan">
      <formula>2.9</formula>
    </cfRule>
    <cfRule type="cellIs" dxfId="2936" priority="490" operator="greaterThan">
      <formula>2.9</formula>
    </cfRule>
  </conditionalFormatting>
  <conditionalFormatting sqref="I22:J22">
    <cfRule type="cellIs" dxfId="2935" priority="487" operator="lessThan">
      <formula>1.9</formula>
    </cfRule>
    <cfRule type="cellIs" dxfId="2934" priority="488" operator="greaterThan">
      <formula>1.9</formula>
    </cfRule>
  </conditionalFormatting>
  <conditionalFormatting sqref="E12:E13">
    <cfRule type="cellIs" dxfId="2933" priority="485" operator="lessThan">
      <formula>1.9</formula>
    </cfRule>
    <cfRule type="cellIs" dxfId="2932" priority="486" operator="greaterThan">
      <formula>1.9</formula>
    </cfRule>
  </conditionalFormatting>
  <conditionalFormatting sqref="G9:I10">
    <cfRule type="cellIs" dxfId="2931" priority="483" operator="lessThan">
      <formula>1.9</formula>
    </cfRule>
    <cfRule type="cellIs" dxfId="2930" priority="484" operator="greaterThan">
      <formula>1.9</formula>
    </cfRule>
  </conditionalFormatting>
  <conditionalFormatting sqref="G7">
    <cfRule type="cellIs" dxfId="2929" priority="481" operator="lessThan">
      <formula>1.9</formula>
    </cfRule>
    <cfRule type="cellIs" dxfId="2928" priority="482" operator="greaterThan">
      <formula>1.9</formula>
    </cfRule>
  </conditionalFormatting>
  <conditionalFormatting sqref="E8:I8 E9:F10 E7:F7">
    <cfRule type="cellIs" dxfId="2927" priority="479" operator="lessThan">
      <formula>1</formula>
    </cfRule>
    <cfRule type="cellIs" dxfId="2926" priority="480" operator="greaterThan">
      <formula>0.9</formula>
    </cfRule>
  </conditionalFormatting>
  <conditionalFormatting sqref="D4:D5">
    <cfRule type="cellIs" dxfId="2925" priority="477" operator="lessThan">
      <formula>2.9</formula>
    </cfRule>
    <cfRule type="cellIs" dxfId="2924" priority="478" operator="greaterThan">
      <formula>2.9</formula>
    </cfRule>
  </conditionalFormatting>
  <conditionalFormatting sqref="C12:D17">
    <cfRule type="cellIs" dxfId="2923" priority="475" operator="lessThan">
      <formula>1</formula>
    </cfRule>
    <cfRule type="cellIs" dxfId="2922" priority="476" operator="greaterThan">
      <formula>0.9</formula>
    </cfRule>
  </conditionalFormatting>
  <conditionalFormatting sqref="E14:E19">
    <cfRule type="cellIs" dxfId="2921" priority="473" operator="lessThan">
      <formula>1</formula>
    </cfRule>
    <cfRule type="cellIs" dxfId="2920" priority="474" operator="greaterThan">
      <formula>0.9</formula>
    </cfRule>
  </conditionalFormatting>
  <conditionalFormatting sqref="F14:F22">
    <cfRule type="cellIs" dxfId="2919" priority="471" operator="lessThan">
      <formula>1</formula>
    </cfRule>
    <cfRule type="cellIs" dxfId="2918" priority="472" operator="greaterThan">
      <formula>0.9</formula>
    </cfRule>
  </conditionalFormatting>
  <conditionalFormatting sqref="G15:G22">
    <cfRule type="cellIs" dxfId="2917" priority="469" operator="lessThan">
      <formula>1</formula>
    </cfRule>
    <cfRule type="cellIs" dxfId="2916" priority="470" operator="greaterThan">
      <formula>0.9</formula>
    </cfRule>
  </conditionalFormatting>
  <conditionalFormatting sqref="H15:H22 I21:J21">
    <cfRule type="cellIs" dxfId="2915" priority="467" operator="lessThan">
      <formula>1</formula>
    </cfRule>
    <cfRule type="cellIs" dxfId="2914" priority="468" operator="greaterThan">
      <formula>0.9</formula>
    </cfRule>
  </conditionalFormatting>
  <conditionalFormatting sqref="E20:E22 D18:D22">
    <cfRule type="cellIs" dxfId="2913" priority="466" operator="greaterThan">
      <formula>0</formula>
    </cfRule>
  </conditionalFormatting>
  <conditionalFormatting sqref="E20:E22 D18:D22">
    <cfRule type="cellIs" dxfId="2912" priority="465" operator="equal">
      <formula>0</formula>
    </cfRule>
  </conditionalFormatting>
  <conditionalFormatting sqref="C18:C22">
    <cfRule type="cellIs" dxfId="2911" priority="464" operator="greaterThan">
      <formula>0</formula>
    </cfRule>
  </conditionalFormatting>
  <conditionalFormatting sqref="C18:C22">
    <cfRule type="cellIs" dxfId="2910" priority="463" operator="equal">
      <formula>0</formula>
    </cfRule>
  </conditionalFormatting>
  <conditionalFormatting sqref="D9:D10">
    <cfRule type="cellIs" dxfId="2909" priority="461" operator="lessThan">
      <formula>1</formula>
    </cfRule>
    <cfRule type="cellIs" dxfId="2908" priority="462" operator="greaterThan">
      <formula>0.9</formula>
    </cfRule>
  </conditionalFormatting>
  <conditionalFormatting sqref="D24:D25 E25">
    <cfRule type="cellIs" dxfId="2907" priority="460" operator="greaterThan">
      <formula>0</formula>
    </cfRule>
  </conditionalFormatting>
  <conditionalFormatting sqref="D24:D25 E25">
    <cfRule type="cellIs" dxfId="2906" priority="459" operator="equal">
      <formula>0</formula>
    </cfRule>
  </conditionalFormatting>
  <conditionalFormatting sqref="E24">
    <cfRule type="cellIs" dxfId="2905" priority="457" operator="lessThan">
      <formula>1</formula>
    </cfRule>
    <cfRule type="cellIs" dxfId="2904" priority="458" operator="greaterThan">
      <formula>0.9</formula>
    </cfRule>
  </conditionalFormatting>
  <conditionalFormatting sqref="F24">
    <cfRule type="cellIs" dxfId="2903" priority="455" operator="lessThan">
      <formula>1.9</formula>
    </cfRule>
    <cfRule type="cellIs" dxfId="2902" priority="456" operator="greaterThan">
      <formula>1.9</formula>
    </cfRule>
  </conditionalFormatting>
  <conditionalFormatting sqref="G24:H25 I25:J25">
    <cfRule type="cellIs" dxfId="2901" priority="453" operator="lessThan">
      <formula>1.9</formula>
    </cfRule>
    <cfRule type="cellIs" dxfId="2900" priority="454" operator="greaterThan">
      <formula>1.9</formula>
    </cfRule>
  </conditionalFormatting>
  <conditionalFormatting sqref="C24">
    <cfRule type="cellIs" dxfId="2899" priority="452" operator="greaterThan">
      <formula>0</formula>
    </cfRule>
  </conditionalFormatting>
  <conditionalFormatting sqref="C24">
    <cfRule type="cellIs" dxfId="2898" priority="451" operator="equal">
      <formula>0</formula>
    </cfRule>
  </conditionalFormatting>
  <conditionalFormatting sqref="C25">
    <cfRule type="cellIs" dxfId="2897" priority="450" operator="greaterThan">
      <formula>0</formula>
    </cfRule>
  </conditionalFormatting>
  <conditionalFormatting sqref="C25">
    <cfRule type="cellIs" dxfId="2896" priority="449" operator="equal">
      <formula>0</formula>
    </cfRule>
  </conditionalFormatting>
  <conditionalFormatting sqref="I24">
    <cfRule type="cellIs" dxfId="2895" priority="447" operator="lessThan">
      <formula>2.9</formula>
    </cfRule>
    <cfRule type="cellIs" dxfId="2894" priority="448" operator="greaterThan">
      <formula>2.9</formula>
    </cfRule>
  </conditionalFormatting>
  <conditionalFormatting sqref="J24">
    <cfRule type="cellIs" dxfId="2893" priority="445" operator="lessThan">
      <formula>2.9</formula>
    </cfRule>
    <cfRule type="cellIs" dxfId="2892" priority="446" operator="greaterThan">
      <formula>2.9</formula>
    </cfRule>
  </conditionalFormatting>
  <conditionalFormatting sqref="K24">
    <cfRule type="cellIs" dxfId="2891" priority="443" operator="lessThan">
      <formula>2.9</formula>
    </cfRule>
    <cfRule type="cellIs" dxfId="2890" priority="444" operator="greaterThan">
      <formula>2.9</formula>
    </cfRule>
  </conditionalFormatting>
  <conditionalFormatting sqref="F25">
    <cfRule type="cellIs" dxfId="2889" priority="441" operator="lessThan">
      <formula>1</formula>
    </cfRule>
    <cfRule type="cellIs" dxfId="2888" priority="442" operator="greaterThan">
      <formula>0.9</formula>
    </cfRule>
  </conditionalFormatting>
  <conditionalFormatting sqref="K25">
    <cfRule type="cellIs" dxfId="2887" priority="439" operator="lessThan">
      <formula>2.9</formula>
    </cfRule>
    <cfRule type="cellIs" dxfId="2886" priority="440" operator="greaterThan">
      <formula>2.9</formula>
    </cfRule>
  </conditionalFormatting>
  <conditionalFormatting sqref="D27">
    <cfRule type="cellIs" dxfId="2885" priority="437" operator="lessThan">
      <formula>1</formula>
    </cfRule>
    <cfRule type="cellIs" dxfId="2884" priority="438" operator="greaterThan">
      <formula>0.9</formula>
    </cfRule>
  </conditionalFormatting>
  <conditionalFormatting sqref="D28">
    <cfRule type="cellIs" dxfId="2883" priority="435" operator="lessThan">
      <formula>1</formula>
    </cfRule>
    <cfRule type="cellIs" dxfId="2882" priority="436" operator="greaterThan">
      <formula>0.9</formula>
    </cfRule>
  </conditionalFormatting>
  <conditionalFormatting sqref="D29">
    <cfRule type="cellIs" dxfId="2881" priority="433" operator="lessThan">
      <formula>1</formula>
    </cfRule>
    <cfRule type="cellIs" dxfId="2880" priority="434" operator="greaterThan">
      <formula>0.9</formula>
    </cfRule>
  </conditionalFormatting>
  <conditionalFormatting sqref="E29">
    <cfRule type="cellIs" dxfId="2879" priority="431" operator="lessThan">
      <formula>1</formula>
    </cfRule>
    <cfRule type="cellIs" dxfId="2878" priority="432" operator="greaterThan">
      <formula>0.9</formula>
    </cfRule>
  </conditionalFormatting>
  <conditionalFormatting sqref="E28">
    <cfRule type="cellIs" dxfId="2877" priority="429" operator="lessThan">
      <formula>1</formula>
    </cfRule>
    <cfRule type="cellIs" dxfId="2876" priority="430" operator="greaterThan">
      <formula>0.9</formula>
    </cfRule>
  </conditionalFormatting>
  <conditionalFormatting sqref="E27">
    <cfRule type="cellIs" dxfId="2875" priority="427" operator="lessThan">
      <formula>1</formula>
    </cfRule>
    <cfRule type="cellIs" dxfId="2874" priority="428" operator="greaterThan">
      <formula>0.9</formula>
    </cfRule>
  </conditionalFormatting>
  <conditionalFormatting sqref="F27">
    <cfRule type="cellIs" dxfId="2873" priority="425" operator="lessThan">
      <formula>1</formula>
    </cfRule>
    <cfRule type="cellIs" dxfId="2872" priority="426" operator="greaterThan">
      <formula>0.9</formula>
    </cfRule>
  </conditionalFormatting>
  <conditionalFormatting sqref="F28">
    <cfRule type="cellIs" dxfId="2871" priority="423" operator="lessThan">
      <formula>1</formula>
    </cfRule>
    <cfRule type="cellIs" dxfId="2870" priority="424" operator="greaterThan">
      <formula>0.9</formula>
    </cfRule>
  </conditionalFormatting>
  <conditionalFormatting sqref="F29">
    <cfRule type="cellIs" dxfId="2869" priority="421" operator="lessThan">
      <formula>1</formula>
    </cfRule>
    <cfRule type="cellIs" dxfId="2868" priority="422" operator="greaterThan">
      <formula>0.9</formula>
    </cfRule>
  </conditionalFormatting>
  <conditionalFormatting sqref="F30">
    <cfRule type="cellIs" dxfId="2867" priority="419" operator="lessThan">
      <formula>1</formula>
    </cfRule>
    <cfRule type="cellIs" dxfId="2866" priority="420" operator="greaterThan">
      <formula>0.9</formula>
    </cfRule>
  </conditionalFormatting>
  <conditionalFormatting sqref="F31">
    <cfRule type="cellIs" dxfId="2865" priority="417" operator="lessThan">
      <formula>1</formula>
    </cfRule>
    <cfRule type="cellIs" dxfId="2864" priority="418" operator="greaterThan">
      <formula>0.9</formula>
    </cfRule>
  </conditionalFormatting>
  <conditionalFormatting sqref="F32">
    <cfRule type="cellIs" dxfId="2863" priority="415" operator="lessThan">
      <formula>1</formula>
    </cfRule>
    <cfRule type="cellIs" dxfId="2862" priority="416" operator="greaterThan">
      <formula>0.9</formula>
    </cfRule>
  </conditionalFormatting>
  <conditionalFormatting sqref="F33:F34">
    <cfRule type="cellIs" dxfId="2861" priority="413" operator="lessThan">
      <formula>1</formula>
    </cfRule>
    <cfRule type="cellIs" dxfId="2860" priority="414" operator="greaterThan">
      <formula>0.9</formula>
    </cfRule>
  </conditionalFormatting>
  <conditionalFormatting sqref="C27">
    <cfRule type="cellIs" dxfId="2859" priority="411" operator="lessThan">
      <formula>1</formula>
    </cfRule>
    <cfRule type="cellIs" dxfId="2858" priority="412" operator="greaterThan">
      <formula>0.9</formula>
    </cfRule>
  </conditionalFormatting>
  <conditionalFormatting sqref="C28">
    <cfRule type="cellIs" dxfId="2857" priority="409" operator="lessThan">
      <formula>1</formula>
    </cfRule>
    <cfRule type="cellIs" dxfId="2856" priority="410" operator="greaterThan">
      <formula>0.9</formula>
    </cfRule>
  </conditionalFormatting>
  <conditionalFormatting sqref="C29">
    <cfRule type="cellIs" dxfId="2855" priority="407" operator="lessThan">
      <formula>1</formula>
    </cfRule>
    <cfRule type="cellIs" dxfId="2854" priority="408" operator="greaterThan">
      <formula>0.9</formula>
    </cfRule>
  </conditionalFormatting>
  <conditionalFormatting sqref="C30:C34">
    <cfRule type="cellIs" dxfId="2853" priority="406" operator="greaterThan">
      <formula>0</formula>
    </cfRule>
  </conditionalFormatting>
  <conditionalFormatting sqref="C30:C34">
    <cfRule type="cellIs" dxfId="2852" priority="405" operator="equal">
      <formula>0</formula>
    </cfRule>
  </conditionalFormatting>
  <conditionalFormatting sqref="D30">
    <cfRule type="cellIs" dxfId="2851" priority="404" operator="greaterThan">
      <formula>0</formula>
    </cfRule>
  </conditionalFormatting>
  <conditionalFormatting sqref="D30">
    <cfRule type="cellIs" dxfId="2850" priority="403" operator="equal">
      <formula>0</formula>
    </cfRule>
  </conditionalFormatting>
  <conditionalFormatting sqref="D31">
    <cfRule type="cellIs" dxfId="2849" priority="402" operator="greaterThan">
      <formula>0</formula>
    </cfRule>
  </conditionalFormatting>
  <conditionalFormatting sqref="D31">
    <cfRule type="cellIs" dxfId="2848" priority="401" operator="equal">
      <formula>0</formula>
    </cfRule>
  </conditionalFormatting>
  <conditionalFormatting sqref="D32">
    <cfRule type="cellIs" dxfId="2847" priority="400" operator="greaterThan">
      <formula>0</formula>
    </cfRule>
  </conditionalFormatting>
  <conditionalFormatting sqref="D32">
    <cfRule type="cellIs" dxfId="2846" priority="399" operator="equal">
      <formula>0</formula>
    </cfRule>
  </conditionalFormatting>
  <conditionalFormatting sqref="D33">
    <cfRule type="cellIs" dxfId="2845" priority="398" operator="greaterThan">
      <formula>0</formula>
    </cfRule>
  </conditionalFormatting>
  <conditionalFormatting sqref="D33">
    <cfRule type="cellIs" dxfId="2844" priority="397" operator="equal">
      <formula>0</formula>
    </cfRule>
  </conditionalFormatting>
  <conditionalFormatting sqref="D34">
    <cfRule type="cellIs" dxfId="2843" priority="396" operator="greaterThan">
      <formula>0</formula>
    </cfRule>
  </conditionalFormatting>
  <conditionalFormatting sqref="D34">
    <cfRule type="cellIs" dxfId="2842" priority="395" operator="equal">
      <formula>0</formula>
    </cfRule>
  </conditionalFormatting>
  <conditionalFormatting sqref="E30">
    <cfRule type="cellIs" dxfId="2841" priority="394" operator="greaterThan">
      <formula>0</formula>
    </cfRule>
  </conditionalFormatting>
  <conditionalFormatting sqref="E30">
    <cfRule type="cellIs" dxfId="2840" priority="393" operator="equal">
      <formula>0</formula>
    </cfRule>
  </conditionalFormatting>
  <conditionalFormatting sqref="E31">
    <cfRule type="cellIs" dxfId="2839" priority="392" operator="greaterThan">
      <formula>0</formula>
    </cfRule>
  </conditionalFormatting>
  <conditionalFormatting sqref="E31">
    <cfRule type="cellIs" dxfId="2838" priority="391" operator="equal">
      <formula>0</formula>
    </cfRule>
  </conditionalFormatting>
  <conditionalFormatting sqref="E32">
    <cfRule type="cellIs" dxfId="2837" priority="390" operator="greaterThan">
      <formula>0</formula>
    </cfRule>
  </conditionalFormatting>
  <conditionalFormatting sqref="E32">
    <cfRule type="cellIs" dxfId="2836" priority="389" operator="equal">
      <formula>0</formula>
    </cfRule>
  </conditionalFormatting>
  <conditionalFormatting sqref="E33">
    <cfRule type="cellIs" dxfId="2835" priority="388" operator="greaterThan">
      <formula>0</formula>
    </cfRule>
  </conditionalFormatting>
  <conditionalFormatting sqref="E33">
    <cfRule type="cellIs" dxfId="2834" priority="387" operator="equal">
      <formula>0</formula>
    </cfRule>
  </conditionalFormatting>
  <conditionalFormatting sqref="E34">
    <cfRule type="cellIs" dxfId="2833" priority="386" operator="greaterThan">
      <formula>0</formula>
    </cfRule>
  </conditionalFormatting>
  <conditionalFormatting sqref="E34">
    <cfRule type="cellIs" dxfId="2832" priority="385" operator="equal">
      <formula>0</formula>
    </cfRule>
  </conditionalFormatting>
  <conditionalFormatting sqref="G27">
    <cfRule type="cellIs" dxfId="2831" priority="383" operator="lessThan">
      <formula>1.9</formula>
    </cfRule>
    <cfRule type="cellIs" dxfId="2830" priority="384" operator="greaterThan">
      <formula>1.9</formula>
    </cfRule>
  </conditionalFormatting>
  <conditionalFormatting sqref="G28">
    <cfRule type="cellIs" dxfId="2829" priority="381" operator="lessThan">
      <formula>1.9</formula>
    </cfRule>
    <cfRule type="cellIs" dxfId="2828" priority="382" operator="greaterThan">
      <formula>1.9</formula>
    </cfRule>
  </conditionalFormatting>
  <conditionalFormatting sqref="G29">
    <cfRule type="cellIs" dxfId="2827" priority="379" operator="lessThan">
      <formula>1.9</formula>
    </cfRule>
    <cfRule type="cellIs" dxfId="2826" priority="380" operator="greaterThan">
      <formula>1.9</formula>
    </cfRule>
  </conditionalFormatting>
  <conditionalFormatting sqref="G30">
    <cfRule type="cellIs" dxfId="2825" priority="377" operator="lessThan">
      <formula>1.9</formula>
    </cfRule>
    <cfRule type="cellIs" dxfId="2824" priority="378" operator="greaterThan">
      <formula>1.9</formula>
    </cfRule>
  </conditionalFormatting>
  <conditionalFormatting sqref="G31">
    <cfRule type="cellIs" dxfId="2823" priority="375" operator="lessThan">
      <formula>1.9</formula>
    </cfRule>
    <cfRule type="cellIs" dxfId="2822" priority="376" operator="greaterThan">
      <formula>1.9</formula>
    </cfRule>
  </conditionalFormatting>
  <conditionalFormatting sqref="G32">
    <cfRule type="cellIs" dxfId="2821" priority="373" operator="lessThan">
      <formula>1.9</formula>
    </cfRule>
    <cfRule type="cellIs" dxfId="2820" priority="374" operator="greaterThan">
      <formula>1.9</formula>
    </cfRule>
  </conditionalFormatting>
  <conditionalFormatting sqref="G33:G34">
    <cfRule type="cellIs" dxfId="2819" priority="371" operator="lessThan">
      <formula>1.9</formula>
    </cfRule>
    <cfRule type="cellIs" dxfId="2818" priority="372" operator="greaterThan">
      <formula>1.9</formula>
    </cfRule>
  </conditionalFormatting>
  <conditionalFormatting sqref="H27:H33">
    <cfRule type="cellIs" dxfId="2817" priority="369" operator="lessThan">
      <formula>1.9</formula>
    </cfRule>
    <cfRule type="cellIs" dxfId="2816" priority="370" operator="greaterThan">
      <formula>1.9</formula>
    </cfRule>
  </conditionalFormatting>
  <conditionalFormatting sqref="I30">
    <cfRule type="cellIs" dxfId="2815" priority="367" operator="lessThan">
      <formula>1.9</formula>
    </cfRule>
    <cfRule type="cellIs" dxfId="2814" priority="368" operator="greaterThan">
      <formula>1.9</formula>
    </cfRule>
  </conditionalFormatting>
  <conditionalFormatting sqref="I31">
    <cfRule type="cellIs" dxfId="2813" priority="365" operator="lessThan">
      <formula>1.9</formula>
    </cfRule>
    <cfRule type="cellIs" dxfId="2812" priority="366" operator="greaterThan">
      <formula>1.9</formula>
    </cfRule>
  </conditionalFormatting>
  <conditionalFormatting sqref="I32">
    <cfRule type="cellIs" dxfId="2811" priority="363" operator="lessThan">
      <formula>1.9</formula>
    </cfRule>
    <cfRule type="cellIs" dxfId="2810" priority="364" operator="greaterThan">
      <formula>1.9</formula>
    </cfRule>
  </conditionalFormatting>
  <conditionalFormatting sqref="I33">
    <cfRule type="cellIs" dxfId="2809" priority="361" operator="lessThan">
      <formula>1.9</formula>
    </cfRule>
    <cfRule type="cellIs" dxfId="2808" priority="362" operator="greaterThan">
      <formula>1.9</formula>
    </cfRule>
  </conditionalFormatting>
  <conditionalFormatting sqref="J27:J29">
    <cfRule type="cellIs" dxfId="2807" priority="359" operator="lessThan">
      <formula>2.9</formula>
    </cfRule>
    <cfRule type="cellIs" dxfId="2806" priority="360" operator="greaterThan">
      <formula>2.9</formula>
    </cfRule>
  </conditionalFormatting>
  <conditionalFormatting sqref="J30">
    <cfRule type="cellIs" dxfId="2805" priority="357" operator="lessThan">
      <formula>1.9</formula>
    </cfRule>
    <cfRule type="cellIs" dxfId="2804" priority="358" operator="greaterThan">
      <formula>1.9</formula>
    </cfRule>
  </conditionalFormatting>
  <conditionalFormatting sqref="J31">
    <cfRule type="cellIs" dxfId="2803" priority="355" operator="lessThan">
      <formula>1.9</formula>
    </cfRule>
    <cfRule type="cellIs" dxfId="2802" priority="356" operator="greaterThan">
      <formula>1.9</formula>
    </cfRule>
  </conditionalFormatting>
  <conditionalFormatting sqref="J32">
    <cfRule type="cellIs" dxfId="2801" priority="353" operator="lessThan">
      <formula>1.9</formula>
    </cfRule>
    <cfRule type="cellIs" dxfId="2800" priority="354" operator="greaterThan">
      <formula>1.9</formula>
    </cfRule>
  </conditionalFormatting>
  <conditionalFormatting sqref="J33">
    <cfRule type="cellIs" dxfId="2799" priority="351" operator="lessThan">
      <formula>1.9</formula>
    </cfRule>
    <cfRule type="cellIs" dxfId="2798" priority="352" operator="greaterThan">
      <formula>1.9</formula>
    </cfRule>
  </conditionalFormatting>
  <conditionalFormatting sqref="K27">
    <cfRule type="cellIs" dxfId="2797" priority="349" operator="lessThan">
      <formula>3.9</formula>
    </cfRule>
    <cfRule type="cellIs" dxfId="2796" priority="350" operator="greaterThan">
      <formula>3.9</formula>
    </cfRule>
  </conditionalFormatting>
  <conditionalFormatting sqref="K28">
    <cfRule type="cellIs" dxfId="2795" priority="347" operator="lessThan">
      <formula>3.9</formula>
    </cfRule>
    <cfRule type="cellIs" dxfId="2794" priority="348" operator="greaterThan">
      <formula>3.9</formula>
    </cfRule>
  </conditionalFormatting>
  <conditionalFormatting sqref="K29">
    <cfRule type="cellIs" dxfId="2793" priority="345" operator="lessThan">
      <formula>3.9</formula>
    </cfRule>
    <cfRule type="cellIs" dxfId="2792" priority="346" operator="greaterThan">
      <formula>3.9</formula>
    </cfRule>
  </conditionalFormatting>
  <conditionalFormatting sqref="K30">
    <cfRule type="cellIs" dxfId="2791" priority="343" operator="lessThan">
      <formula>2.9</formula>
    </cfRule>
    <cfRule type="cellIs" dxfId="2790" priority="344" operator="greaterThan">
      <formula>2.9</formula>
    </cfRule>
  </conditionalFormatting>
  <conditionalFormatting sqref="K31">
    <cfRule type="cellIs" dxfId="2789" priority="341" operator="lessThan">
      <formula>2.9</formula>
    </cfRule>
    <cfRule type="cellIs" dxfId="2788" priority="342" operator="greaterThan">
      <formula>2.9</formula>
    </cfRule>
  </conditionalFormatting>
  <conditionalFormatting sqref="K32">
    <cfRule type="cellIs" dxfId="2787" priority="339" operator="lessThan">
      <formula>2.9</formula>
    </cfRule>
    <cfRule type="cellIs" dxfId="2786" priority="340" operator="greaterThan">
      <formula>2.9</formula>
    </cfRule>
  </conditionalFormatting>
  <conditionalFormatting sqref="K33">
    <cfRule type="cellIs" dxfId="2785" priority="337" operator="lessThan">
      <formula>2.9</formula>
    </cfRule>
    <cfRule type="cellIs" dxfId="2784" priority="338" operator="greaterThan">
      <formula>2.9</formula>
    </cfRule>
  </conditionalFormatting>
  <conditionalFormatting sqref="I27:I29">
    <cfRule type="cellIs" dxfId="2783" priority="335" operator="lessThan">
      <formula>2.9</formula>
    </cfRule>
    <cfRule type="cellIs" dxfId="2782" priority="336" operator="greaterThan">
      <formula>2.9</formula>
    </cfRule>
  </conditionalFormatting>
  <conditionalFormatting sqref="K34">
    <cfRule type="cellIs" dxfId="2781" priority="333" operator="lessThan">
      <formula>6.9</formula>
    </cfRule>
    <cfRule type="cellIs" dxfId="2780" priority="334" operator="greaterThan">
      <formula>6.9</formula>
    </cfRule>
  </conditionalFormatting>
  <conditionalFormatting sqref="H34">
    <cfRule type="cellIs" dxfId="2779" priority="331" operator="lessThan">
      <formula>3.9</formula>
    </cfRule>
    <cfRule type="cellIs" dxfId="2778" priority="332" operator="greaterThan">
      <formula>3.9</formula>
    </cfRule>
  </conditionalFormatting>
  <conditionalFormatting sqref="I34">
    <cfRule type="cellIs" dxfId="2777" priority="329" operator="lessThan">
      <formula>4.9</formula>
    </cfRule>
    <cfRule type="cellIs" dxfId="2776" priority="330" operator="greaterThan">
      <formula>4.9</formula>
    </cfRule>
  </conditionalFormatting>
  <conditionalFormatting sqref="J34">
    <cfRule type="cellIs" dxfId="2775" priority="327" operator="lessThan">
      <formula>6</formula>
    </cfRule>
    <cfRule type="cellIs" dxfId="2774" priority="328" operator="greaterThan">
      <formula>5.9</formula>
    </cfRule>
  </conditionalFormatting>
  <conditionalFormatting sqref="K58:K59">
    <cfRule type="cellIs" dxfId="2773" priority="324" operator="lessThan">
      <formula>0.76</formula>
    </cfRule>
    <cfRule type="cellIs" dxfId="2772" priority="325" operator="greaterThan">
      <formula>0.75</formula>
    </cfRule>
    <cfRule type="cellIs" dxfId="2771" priority="326" operator="greaterThan">
      <formula>75</formula>
    </cfRule>
  </conditionalFormatting>
  <conditionalFormatting sqref="H58:J59">
    <cfRule type="cellIs" dxfId="2770" priority="322" operator="lessThan">
      <formula>0.71</formula>
    </cfRule>
    <cfRule type="cellIs" dxfId="2769" priority="323" operator="greaterThan">
      <formula>0.7</formula>
    </cfRule>
  </conditionalFormatting>
  <conditionalFormatting sqref="F58:G59">
    <cfRule type="cellIs" dxfId="2768" priority="320" operator="lessThan">
      <formula>0.66</formula>
    </cfRule>
    <cfRule type="cellIs" dxfId="2767" priority="321" operator="greaterThan">
      <formula>0.65</formula>
    </cfRule>
  </conditionalFormatting>
  <conditionalFormatting sqref="E58:E59">
    <cfRule type="cellIs" dxfId="2766" priority="318" operator="lessThan">
      <formula>0.61</formula>
    </cfRule>
    <cfRule type="cellIs" dxfId="2765" priority="319" operator="greaterThan">
      <formula>0.6</formula>
    </cfRule>
  </conditionalFormatting>
  <conditionalFormatting sqref="C58:D59">
    <cfRule type="cellIs" dxfId="2764" priority="316" operator="lessThan">
      <formula>0.51</formula>
    </cfRule>
    <cfRule type="cellIs" dxfId="2763" priority="317" operator="greaterThan">
      <formula>0.5</formula>
    </cfRule>
  </conditionalFormatting>
  <conditionalFormatting sqref="K47">
    <cfRule type="cellIs" dxfId="2762" priority="313" operator="greaterThan">
      <formula>39.9</formula>
    </cfRule>
    <cfRule type="cellIs" dxfId="2761" priority="314" operator="lessThan">
      <formula>40</formula>
    </cfRule>
    <cfRule type="cellIs" dxfId="2760" priority="315" operator="greaterThan">
      <formula>40</formula>
    </cfRule>
  </conditionalFormatting>
  <conditionalFormatting sqref="K48">
    <cfRule type="cellIs" dxfId="2759" priority="311" operator="lessThan">
      <formula>9.9</formula>
    </cfRule>
    <cfRule type="cellIs" dxfId="2758" priority="312" operator="greaterThan">
      <formula>9.9</formula>
    </cfRule>
  </conditionalFormatting>
  <conditionalFormatting sqref="K46">
    <cfRule type="cellIs" dxfId="2757" priority="309" operator="lessThan">
      <formula>17.9</formula>
    </cfRule>
    <cfRule type="cellIs" dxfId="2756" priority="310" operator="greaterThan">
      <formula>17.9</formula>
    </cfRule>
  </conditionalFormatting>
  <conditionalFormatting sqref="K49">
    <cfRule type="cellIs" dxfId="2755" priority="307" operator="lessThan">
      <formula>39.9</formula>
    </cfRule>
    <cfRule type="cellIs" dxfId="2754" priority="308" operator="greaterThan">
      <formula>39.9</formula>
    </cfRule>
  </conditionalFormatting>
  <conditionalFormatting sqref="K52:K53">
    <cfRule type="cellIs" dxfId="2753" priority="305" operator="lessThan">
      <formula>215.9</formula>
    </cfRule>
    <cfRule type="cellIs" dxfId="2752" priority="306" operator="greaterThan">
      <formula>215.9</formula>
    </cfRule>
  </conditionalFormatting>
  <conditionalFormatting sqref="K56">
    <cfRule type="cellIs" dxfId="2751" priority="301" operator="lessThan">
      <formula>4.27</formula>
    </cfRule>
    <cfRule type="cellIs" dxfId="2750" priority="302" operator="greaterThan">
      <formula>4.27</formula>
    </cfRule>
    <cfRule type="cellIs" dxfId="2749" priority="303" operator="lessThan">
      <formula>4.28</formula>
    </cfRule>
    <cfRule type="cellIs" dxfId="2748" priority="304" operator="greaterThan">
      <formula>4.28</formula>
    </cfRule>
  </conditionalFormatting>
  <conditionalFormatting sqref="I46:J46">
    <cfRule type="cellIs" dxfId="2747" priority="297" operator="lessThan">
      <formula>16.9</formula>
    </cfRule>
    <cfRule type="cellIs" dxfId="2746" priority="298" operator="greaterThan">
      <formula>16.9</formula>
    </cfRule>
    <cfRule type="cellIs" dxfId="2745" priority="299" operator="greaterThan">
      <formula>16</formula>
    </cfRule>
    <cfRule type="cellIs" dxfId="2744" priority="300" operator="greaterThan">
      <formula>16</formula>
    </cfRule>
  </conditionalFormatting>
  <conditionalFormatting sqref="J47">
    <cfRule type="cellIs" dxfId="2743" priority="293" operator="lessThan">
      <formula>34.9</formula>
    </cfRule>
    <cfRule type="cellIs" dxfId="2742" priority="294" operator="greaterThan">
      <formula>34.9</formula>
    </cfRule>
    <cfRule type="cellIs" dxfId="2741" priority="295" operator="greaterThan">
      <formula>34.9</formula>
    </cfRule>
    <cfRule type="cellIs" dxfId="2740" priority="296" operator="greaterThan">
      <formula>34.9</formula>
    </cfRule>
  </conditionalFormatting>
  <conditionalFormatting sqref="J48">
    <cfRule type="cellIs" dxfId="2739" priority="291" operator="lessThan">
      <formula>7.9</formula>
    </cfRule>
    <cfRule type="cellIs" dxfId="2738" priority="292" operator="greaterThan">
      <formula>7.9</formula>
    </cfRule>
  </conditionalFormatting>
  <conditionalFormatting sqref="J49">
    <cfRule type="cellIs" dxfId="2737" priority="289" operator="lessThan">
      <formula>34.9</formula>
    </cfRule>
    <cfRule type="cellIs" dxfId="2736" priority="290" operator="greaterThan">
      <formula>34.9</formula>
    </cfRule>
  </conditionalFormatting>
  <conditionalFormatting sqref="J52:J53">
    <cfRule type="cellIs" dxfId="2735" priority="287" operator="lessThan">
      <formula>191.9</formula>
    </cfRule>
    <cfRule type="cellIs" dxfId="2734" priority="288" operator="greaterThan">
      <formula>191</formula>
    </cfRule>
  </conditionalFormatting>
  <conditionalFormatting sqref="J56">
    <cfRule type="cellIs" dxfId="2733" priority="283" operator="lessThan">
      <formula>4.391</formula>
    </cfRule>
    <cfRule type="cellIs" dxfId="2732" priority="284" operator="greaterThan">
      <formula>4.39</formula>
    </cfRule>
    <cfRule type="cellIs" dxfId="2731" priority="285" operator="lessThan">
      <formula>"4.39.1"</formula>
    </cfRule>
    <cfRule type="cellIs" dxfId="2730" priority="286" operator="greaterThan">
      <formula>4.39</formula>
    </cfRule>
  </conditionalFormatting>
  <conditionalFormatting sqref="I47">
    <cfRule type="cellIs" dxfId="2729" priority="281" operator="lessThan">
      <formula>30</formula>
    </cfRule>
    <cfRule type="cellIs" dxfId="2728" priority="282" operator="greaterThan">
      <formula>29.9</formula>
    </cfRule>
  </conditionalFormatting>
  <conditionalFormatting sqref="I48">
    <cfRule type="cellIs" dxfId="2727" priority="279" operator="lessThan">
      <formula>7</formula>
    </cfRule>
    <cfRule type="cellIs" dxfId="2726" priority="280" operator="greaterThan">
      <formula>6.9</formula>
    </cfRule>
  </conditionalFormatting>
  <conditionalFormatting sqref="I49">
    <cfRule type="cellIs" dxfId="2725" priority="277" operator="lessThan">
      <formula>30</formula>
    </cfRule>
    <cfRule type="cellIs" dxfId="2724" priority="278" operator="greaterThan">
      <formula>29.9</formula>
    </cfRule>
  </conditionalFormatting>
  <conditionalFormatting sqref="I52:I53">
    <cfRule type="cellIs" dxfId="2723" priority="275" operator="lessThan">
      <formula>168</formula>
    </cfRule>
    <cfRule type="cellIs" dxfId="2722" priority="276" operator="greaterThan">
      <formula>167.9</formula>
    </cfRule>
  </conditionalFormatting>
  <conditionalFormatting sqref="I56">
    <cfRule type="cellIs" dxfId="2721" priority="271" operator="greaterThan">
      <formula>4.49</formula>
    </cfRule>
    <cfRule type="cellIs" dxfId="2720" priority="272" operator="lessThan">
      <formula>4.5</formula>
    </cfRule>
    <cfRule type="cellIs" dxfId="2719" priority="273" operator="lessThan">
      <formula>4.49</formula>
    </cfRule>
    <cfRule type="cellIs" dxfId="2718" priority="274" operator="lessThan">
      <formula>4.48</formula>
    </cfRule>
  </conditionalFormatting>
  <conditionalFormatting sqref="C46:H46">
    <cfRule type="cellIs" dxfId="2717" priority="269" operator="lessThan">
      <formula>15</formula>
    </cfRule>
    <cfRule type="cellIs" dxfId="2716" priority="270" operator="greaterThan">
      <formula>14</formula>
    </cfRule>
  </conditionalFormatting>
  <conditionalFormatting sqref="H47">
    <cfRule type="cellIs" dxfId="2715" priority="267" operator="lessThan">
      <formula>25</formula>
    </cfRule>
    <cfRule type="cellIs" dxfId="2714" priority="268" operator="greaterThan">
      <formula>24</formula>
    </cfRule>
  </conditionalFormatting>
  <conditionalFormatting sqref="H48">
    <cfRule type="cellIs" dxfId="2713" priority="265" operator="lessThan">
      <formula>6</formula>
    </cfRule>
    <cfRule type="cellIs" dxfId="2712" priority="266" operator="greaterThan">
      <formula>5</formula>
    </cfRule>
  </conditionalFormatting>
  <conditionalFormatting sqref="H49">
    <cfRule type="cellIs" dxfId="2711" priority="263" operator="lessThan">
      <formula>25</formula>
    </cfRule>
    <cfRule type="cellIs" dxfId="2710" priority="264" operator="greaterThan">
      <formula>24</formula>
    </cfRule>
  </conditionalFormatting>
  <conditionalFormatting sqref="H52:H53">
    <cfRule type="cellIs" dxfId="2709" priority="261" operator="lessThan">
      <formula>144</formula>
    </cfRule>
    <cfRule type="cellIs" dxfId="2708" priority="262" operator="greaterThan">
      <formula>143</formula>
    </cfRule>
  </conditionalFormatting>
  <conditionalFormatting sqref="H56">
    <cfRule type="cellIs" dxfId="2707" priority="259" operator="greaterThan">
      <formula>4.59</formula>
    </cfRule>
    <cfRule type="cellIs" dxfId="2706" priority="260" operator="lessThan">
      <formula>4.6</formula>
    </cfRule>
  </conditionalFormatting>
  <conditionalFormatting sqref="G47">
    <cfRule type="cellIs" dxfId="2705" priority="257" operator="lessThan">
      <formula>20</formula>
    </cfRule>
    <cfRule type="cellIs" dxfId="2704" priority="258" operator="greaterThan">
      <formula>19</formula>
    </cfRule>
  </conditionalFormatting>
  <conditionalFormatting sqref="G48">
    <cfRule type="cellIs" dxfId="2703" priority="255" operator="lessThan">
      <formula>5</formula>
    </cfRule>
    <cfRule type="cellIs" dxfId="2702" priority="256" operator="greaterThan">
      <formula>4</formula>
    </cfRule>
  </conditionalFormatting>
  <conditionalFormatting sqref="G49">
    <cfRule type="cellIs" dxfId="2701" priority="253" operator="lessThan">
      <formula>20</formula>
    </cfRule>
    <cfRule type="cellIs" dxfId="2700" priority="254" operator="greaterThan">
      <formula>19</formula>
    </cfRule>
  </conditionalFormatting>
  <conditionalFormatting sqref="G52:G53">
    <cfRule type="cellIs" dxfId="2699" priority="251" operator="lessThan">
      <formula>120</formula>
    </cfRule>
    <cfRule type="cellIs" dxfId="2698" priority="252" operator="greaterThan">
      <formula>119</formula>
    </cfRule>
  </conditionalFormatting>
  <conditionalFormatting sqref="G56">
    <cfRule type="cellIs" dxfId="2697" priority="249" operator="greaterThan">
      <formula>4.75</formula>
    </cfRule>
    <cfRule type="cellIs" dxfId="2696" priority="250" operator="lessThan">
      <formula>4.76</formula>
    </cfRule>
  </conditionalFormatting>
  <conditionalFormatting sqref="F47">
    <cfRule type="cellIs" dxfId="2695" priority="247" operator="lessThan">
      <formula>15</formula>
    </cfRule>
    <cfRule type="cellIs" dxfId="2694" priority="248" operator="greaterThan">
      <formula>14</formula>
    </cfRule>
  </conditionalFormatting>
  <conditionalFormatting sqref="F48">
    <cfRule type="cellIs" dxfId="2693" priority="245" operator="lessThan">
      <formula>4</formula>
    </cfRule>
    <cfRule type="cellIs" dxfId="2692" priority="246" operator="greaterThan">
      <formula>3</formula>
    </cfRule>
  </conditionalFormatting>
  <conditionalFormatting sqref="F49">
    <cfRule type="cellIs" dxfId="2691" priority="243" operator="lessThan">
      <formula>15</formula>
    </cfRule>
    <cfRule type="cellIs" dxfId="2690" priority="244" operator="greaterThan">
      <formula>14</formula>
    </cfRule>
  </conditionalFormatting>
  <conditionalFormatting sqref="F52:F53">
    <cfRule type="cellIs" dxfId="2689" priority="241" operator="lessThan">
      <formula>96</formula>
    </cfRule>
    <cfRule type="cellIs" dxfId="2688" priority="242" operator="greaterThan">
      <formula>95</formula>
    </cfRule>
  </conditionalFormatting>
  <conditionalFormatting sqref="F56">
    <cfRule type="cellIs" dxfId="2687" priority="239" operator="greaterThan">
      <formula>5</formula>
    </cfRule>
    <cfRule type="cellIs" dxfId="2686" priority="240" operator="lessThan">
      <formula>5.1</formula>
    </cfRule>
  </conditionalFormatting>
  <conditionalFormatting sqref="E47">
    <cfRule type="cellIs" dxfId="2685" priority="237" operator="lessThan">
      <formula>10</formula>
    </cfRule>
    <cfRule type="cellIs" dxfId="2684" priority="238" operator="greaterThan">
      <formula>9</formula>
    </cfRule>
  </conditionalFormatting>
  <conditionalFormatting sqref="E48">
    <cfRule type="cellIs" dxfId="2683" priority="235" operator="lessThan">
      <formula>3</formula>
    </cfRule>
    <cfRule type="cellIs" dxfId="2682" priority="236" operator="greaterThan">
      <formula>2</formula>
    </cfRule>
  </conditionalFormatting>
  <conditionalFormatting sqref="E49">
    <cfRule type="cellIs" dxfId="2681" priority="233" operator="lessThan">
      <formula>10</formula>
    </cfRule>
    <cfRule type="cellIs" dxfId="2680" priority="234" operator="greaterThan">
      <formula>9</formula>
    </cfRule>
  </conditionalFormatting>
  <conditionalFormatting sqref="E52:E53">
    <cfRule type="cellIs" dxfId="2679" priority="231" operator="lessThan">
      <formula>72</formula>
    </cfRule>
    <cfRule type="cellIs" dxfId="2678" priority="232" operator="greaterThan">
      <formula>71</formula>
    </cfRule>
  </conditionalFormatting>
  <conditionalFormatting sqref="E56">
    <cfRule type="cellIs" dxfId="2677" priority="229" operator="greaterThan">
      <formula>5.5</formula>
    </cfRule>
    <cfRule type="cellIs" dxfId="2676" priority="230" operator="lessThan">
      <formula>5.6</formula>
    </cfRule>
  </conditionalFormatting>
  <conditionalFormatting sqref="D47">
    <cfRule type="cellIs" dxfId="2675" priority="227" operator="lessThan">
      <formula>5</formula>
    </cfRule>
    <cfRule type="cellIs" dxfId="2674" priority="228" operator="greaterThan">
      <formula>4</formula>
    </cfRule>
  </conditionalFormatting>
  <conditionalFormatting sqref="D48">
    <cfRule type="cellIs" dxfId="2673" priority="225" operator="lessThan">
      <formula>2</formula>
    </cfRule>
    <cfRule type="cellIs" dxfId="2672" priority="226" operator="greaterThan">
      <formula>1</formula>
    </cfRule>
  </conditionalFormatting>
  <conditionalFormatting sqref="D49">
    <cfRule type="cellIs" dxfId="2671" priority="223" operator="lessThan">
      <formula>5</formula>
    </cfRule>
    <cfRule type="cellIs" dxfId="2670" priority="224" operator="greaterThan">
      <formula>4</formula>
    </cfRule>
  </conditionalFormatting>
  <conditionalFormatting sqref="D52:D53">
    <cfRule type="cellIs" dxfId="2669" priority="221" operator="lessThan">
      <formula>48</formula>
    </cfRule>
    <cfRule type="cellIs" dxfId="2668" priority="222" operator="greaterThan">
      <formula>47</formula>
    </cfRule>
  </conditionalFormatting>
  <conditionalFormatting sqref="D56">
    <cfRule type="cellIs" dxfId="2667" priority="219" operator="greaterThan">
      <formula>5.75</formula>
    </cfRule>
    <cfRule type="cellIs" dxfId="2666" priority="220" operator="lessThan">
      <formula>5.76</formula>
    </cfRule>
  </conditionalFormatting>
  <conditionalFormatting sqref="K36">
    <cfRule type="cellIs" dxfId="2665" priority="215" operator="lessThan">
      <formula>4</formula>
    </cfRule>
    <cfRule type="cellIs" dxfId="2664" priority="216" operator="lessThan">
      <formula>4.1</formula>
    </cfRule>
    <cfRule type="cellIs" dxfId="2663" priority="217" operator="greaterThan">
      <formula>4</formula>
    </cfRule>
    <cfRule type="cellIs" dxfId="2662" priority="218" operator="lessThan">
      <formula>4</formula>
    </cfRule>
  </conditionalFormatting>
  <conditionalFormatting sqref="K37">
    <cfRule type="cellIs" dxfId="2661" priority="213" operator="lessThan">
      <formula>0.499</formula>
    </cfRule>
    <cfRule type="cellIs" dxfId="2660" priority="214" operator="greaterThan">
      <formula>0.499</formula>
    </cfRule>
  </conditionalFormatting>
  <conditionalFormatting sqref="K38">
    <cfRule type="cellIs" dxfId="2659" priority="211" operator="lessThan">
      <formula>0.449</formula>
    </cfRule>
    <cfRule type="cellIs" dxfId="2658" priority="212" operator="greaterThan">
      <formula>0.449</formula>
    </cfRule>
  </conditionalFormatting>
  <conditionalFormatting sqref="K39">
    <cfRule type="cellIs" dxfId="2657" priority="132" operator="greaterThan">
      <formula>31.99</formula>
    </cfRule>
    <cfRule type="cellIs" dxfId="2656" priority="209" operator="lessThan">
      <formula>32.1</formula>
    </cfRule>
    <cfRule type="cellIs" dxfId="2655" priority="210" operator="greaterThan">
      <formula>32</formula>
    </cfRule>
  </conditionalFormatting>
  <conditionalFormatting sqref="K40">
    <cfRule type="cellIs" dxfId="2654" priority="207" operator="lessThan">
      <formula>1.78</formula>
    </cfRule>
    <cfRule type="cellIs" dxfId="2653" priority="208" operator="greaterThan">
      <formula>1.77</formula>
    </cfRule>
  </conditionalFormatting>
  <conditionalFormatting sqref="K41">
    <cfRule type="cellIs" dxfId="2652" priority="205" operator="lessThan">
      <formula>0.3499</formula>
    </cfRule>
    <cfRule type="cellIs" dxfId="2651" priority="206" operator="greaterThan">
      <formula>0.3499</formula>
    </cfRule>
  </conditionalFormatting>
  <conditionalFormatting sqref="K42">
    <cfRule type="cellIs" dxfId="2650" priority="203" operator="lessThan">
      <formula>0.7499</formula>
    </cfRule>
    <cfRule type="cellIs" dxfId="2649" priority="204" operator="greaterThan">
      <formula>0.7499</formula>
    </cfRule>
  </conditionalFormatting>
  <conditionalFormatting sqref="J36">
    <cfRule type="cellIs" dxfId="2648" priority="200" operator="lessThan">
      <formula>8</formula>
    </cfRule>
    <cfRule type="cellIs" dxfId="2647" priority="201" operator="greaterThan">
      <formula>7.9</formula>
    </cfRule>
    <cfRule type="cellIs" dxfId="2646" priority="202" operator="greaterThan">
      <formula>8</formula>
    </cfRule>
  </conditionalFormatting>
  <conditionalFormatting sqref="J37:J38 I38">
    <cfRule type="cellIs" dxfId="2645" priority="198" operator="lessThan">
      <formula>0.4</formula>
    </cfRule>
    <cfRule type="cellIs" dxfId="2644" priority="199" operator="greaterThan">
      <formula>0.3999</formula>
    </cfRule>
  </conditionalFormatting>
  <conditionalFormatting sqref="J39">
    <cfRule type="cellIs" dxfId="2643" priority="130" operator="lessThan">
      <formula>34</formula>
    </cfRule>
    <cfRule type="cellIs" dxfId="2642" priority="131" operator="greaterThan">
      <formula>33.9</formula>
    </cfRule>
    <cfRule type="cellIs" dxfId="2641" priority="196" operator="lessThan">
      <formula>34.1</formula>
    </cfRule>
    <cfRule type="cellIs" dxfId="2640" priority="197" operator="greaterThan">
      <formula>34</formula>
    </cfRule>
  </conditionalFormatting>
  <conditionalFormatting sqref="J40">
    <cfRule type="cellIs" dxfId="2639" priority="193" operator="lessThan">
      <formula>1.88</formula>
    </cfRule>
    <cfRule type="cellIs" dxfId="2638" priority="194" operator="lessThan">
      <formula>1.88</formula>
    </cfRule>
    <cfRule type="cellIs" dxfId="2637" priority="195" operator="greaterThan">
      <formula>1.87</formula>
    </cfRule>
  </conditionalFormatting>
  <conditionalFormatting sqref="I40">
    <cfRule type="cellIs" dxfId="2636" priority="191" operator="lessThan">
      <formula>2.01</formula>
    </cfRule>
    <cfRule type="cellIs" dxfId="2635" priority="192" operator="greaterThan">
      <formula>2</formula>
    </cfRule>
  </conditionalFormatting>
  <conditionalFormatting sqref="C40:H40">
    <cfRule type="cellIs" dxfId="2634" priority="188" operator="lessThan">
      <formula>2.08</formula>
    </cfRule>
    <cfRule type="cellIs" dxfId="2633" priority="189" operator="lessThan">
      <formula>2.08</formula>
    </cfRule>
    <cfRule type="cellIs" dxfId="2632" priority="190" operator="greaterThan">
      <formula>2.07</formula>
    </cfRule>
  </conditionalFormatting>
  <conditionalFormatting sqref="J44">
    <cfRule type="cellIs" dxfId="2631" priority="186" operator="lessThan">
      <formula>49.1</formula>
    </cfRule>
    <cfRule type="cellIs" dxfId="2630" priority="187" operator="greaterThan">
      <formula>49</formula>
    </cfRule>
  </conditionalFormatting>
  <conditionalFormatting sqref="J43">
    <cfRule type="cellIs" dxfId="2629" priority="184" operator="lessThan">
      <formula>45.1</formula>
    </cfRule>
    <cfRule type="cellIs" dxfId="2628" priority="185" operator="greaterThan">
      <formula>45</formula>
    </cfRule>
  </conditionalFormatting>
  <conditionalFormatting sqref="J42">
    <cfRule type="cellIs" dxfId="2627" priority="181" operator="lessThan">
      <formula>0.6999</formula>
    </cfRule>
    <cfRule type="cellIs" dxfId="2626" priority="182" operator="greaterThan">
      <formula>0.699</formula>
    </cfRule>
    <cfRule type="cellIs" dxfId="2625" priority="183" operator="greaterThan">
      <formula>0.699</formula>
    </cfRule>
  </conditionalFormatting>
  <conditionalFormatting sqref="J41">
    <cfRule type="cellIs" dxfId="2624" priority="179" operator="lessThan">
      <formula>0.2999</formula>
    </cfRule>
    <cfRule type="cellIs" dxfId="2623" priority="180" operator="greaterThan">
      <formula>0.299</formula>
    </cfRule>
  </conditionalFormatting>
  <conditionalFormatting sqref="G37:I37 C38:H38">
    <cfRule type="cellIs" dxfId="2622" priority="177" operator="lessThan">
      <formula>0.35</formula>
    </cfRule>
    <cfRule type="cellIs" dxfId="2621" priority="178" operator="greaterThan">
      <formula>0.349</formula>
    </cfRule>
  </conditionalFormatting>
  <conditionalFormatting sqref="I36">
    <cfRule type="cellIs" dxfId="2620" priority="173" operator="lessThan">
      <formula>10.1</formula>
    </cfRule>
    <cfRule type="cellIs" dxfId="2619" priority="174" operator="greaterThan">
      <formula>10</formula>
    </cfRule>
    <cfRule type="cellIs" dxfId="2618" priority="175" operator="lessThan">
      <formula>10</formula>
    </cfRule>
    <cfRule type="cellIs" dxfId="2617" priority="176" operator="greaterThan">
      <formula>10</formula>
    </cfRule>
  </conditionalFormatting>
  <conditionalFormatting sqref="I39">
    <cfRule type="cellIs" dxfId="2616" priority="128" operator="lessThan">
      <formula>37</formula>
    </cfRule>
    <cfRule type="cellIs" dxfId="2615" priority="129" operator="greaterThan">
      <formula>36.9</formula>
    </cfRule>
    <cfRule type="cellIs" dxfId="2614" priority="171" operator="lessThan">
      <formula>37.01</formula>
    </cfRule>
    <cfRule type="cellIs" dxfId="2613" priority="172" operator="greaterThan">
      <formula>37.01</formula>
    </cfRule>
  </conditionalFormatting>
  <conditionalFormatting sqref="I41">
    <cfRule type="cellIs" dxfId="2612" priority="169" operator="lessThan">
      <formula>0.249</formula>
    </cfRule>
    <cfRule type="cellIs" dxfId="2611" priority="170" operator="greaterThan">
      <formula>0.249</formula>
    </cfRule>
  </conditionalFormatting>
  <conditionalFormatting sqref="I42">
    <cfRule type="cellIs" dxfId="2610" priority="167" operator="lessThan">
      <formula>0.65</formula>
    </cfRule>
    <cfRule type="cellIs" dxfId="2609" priority="168" operator="greaterThan">
      <formula>0.649</formula>
    </cfRule>
  </conditionalFormatting>
  <conditionalFormatting sqref="I43">
    <cfRule type="cellIs" dxfId="2608" priority="114" operator="greaterThan">
      <formula>48.9</formula>
    </cfRule>
    <cfRule type="cellIs" dxfId="2607" priority="115" operator="lessThan">
      <formula>49</formula>
    </cfRule>
    <cfRule type="cellIs" dxfId="2606" priority="116" operator="lessThan">
      <formula>49</formula>
    </cfRule>
    <cfRule type="cellIs" dxfId="2605" priority="117" operator="greaterThan">
      <formula>48.9</formula>
    </cfRule>
    <cfRule type="cellIs" dxfId="2604" priority="165" operator="lessThan">
      <formula>47.1</formula>
    </cfRule>
    <cfRule type="cellIs" dxfId="2603" priority="166" operator="greaterThan">
      <formula>47</formula>
    </cfRule>
  </conditionalFormatting>
  <conditionalFormatting sqref="I44">
    <cfRule type="cellIs" dxfId="2602" priority="163" operator="lessThan">
      <formula>51.1</formula>
    </cfRule>
    <cfRule type="cellIs" dxfId="2601" priority="164" operator="greaterThan">
      <formula>51</formula>
    </cfRule>
  </conditionalFormatting>
  <conditionalFormatting sqref="G39:H39">
    <cfRule type="cellIs" dxfId="2600" priority="126" operator="lessThan">
      <formula>38</formula>
    </cfRule>
    <cfRule type="cellIs" dxfId="2599" priority="127" operator="greaterThan">
      <formula>37.9</formula>
    </cfRule>
    <cfRule type="cellIs" dxfId="2598" priority="161" operator="lessThan">
      <formula>38</formula>
    </cfRule>
    <cfRule type="cellIs" dxfId="2597" priority="162" operator="greaterThan">
      <formula>37.9</formula>
    </cfRule>
  </conditionalFormatting>
  <conditionalFormatting sqref="G41:H41">
    <cfRule type="cellIs" dxfId="2596" priority="159" operator="lessThan">
      <formula>0.25</formula>
    </cfRule>
    <cfRule type="cellIs" dxfId="2595" priority="160" operator="greaterThan">
      <formula>0.249</formula>
    </cfRule>
  </conditionalFormatting>
  <conditionalFormatting sqref="F42:H42">
    <cfRule type="cellIs" dxfId="2594" priority="157" operator="lessThan">
      <formula>0.6</formula>
    </cfRule>
    <cfRule type="cellIs" dxfId="2593" priority="158" operator="greaterThan">
      <formula>0.599</formula>
    </cfRule>
  </conditionalFormatting>
  <conditionalFormatting sqref="G36">
    <cfRule type="cellIs" dxfId="2592" priority="154" operator="lessThan">
      <formula>14</formula>
    </cfRule>
    <cfRule type="cellIs" dxfId="2591" priority="155" operator="greaterThan">
      <formula>13.99</formula>
    </cfRule>
    <cfRule type="cellIs" dxfId="2590" priority="156" operator="greaterThan">
      <formula>14</formula>
    </cfRule>
  </conditionalFormatting>
  <conditionalFormatting sqref="F36">
    <cfRule type="cellIs" dxfId="2589" priority="152" operator="lessThan">
      <formula>16</formula>
    </cfRule>
    <cfRule type="cellIs" dxfId="2588" priority="153" operator="greaterThan">
      <formula>15.9</formula>
    </cfRule>
  </conditionalFormatting>
  <conditionalFormatting sqref="E36">
    <cfRule type="cellIs" dxfId="2587" priority="150" operator="lessThan">
      <formula>18</formula>
    </cfRule>
    <cfRule type="cellIs" dxfId="2586" priority="151" operator="greaterThan">
      <formula>17.9</formula>
    </cfRule>
  </conditionalFormatting>
  <conditionalFormatting sqref="C36:D36">
    <cfRule type="cellIs" dxfId="2585" priority="148" operator="lessThan">
      <formula>24</formula>
    </cfRule>
    <cfRule type="cellIs" dxfId="2584" priority="149" operator="greaterThan">
      <formula>23.99</formula>
    </cfRule>
  </conditionalFormatting>
  <conditionalFormatting sqref="C37:F37">
    <cfRule type="cellIs" dxfId="2583" priority="145" operator="greaterThan">
      <formula>0.249</formula>
    </cfRule>
    <cfRule type="cellIs" dxfId="2582" priority="146" operator="lessThan">
      <formula>0.25</formula>
    </cfRule>
    <cfRule type="cellIs" dxfId="2581" priority="147" operator="greaterThan">
      <formula>24.9</formula>
    </cfRule>
  </conditionalFormatting>
  <conditionalFormatting sqref="C39:F39">
    <cfRule type="cellIs" dxfId="2580" priority="124" operator="lessThan">
      <formula>39.99</formula>
    </cfRule>
    <cfRule type="cellIs" dxfId="2579" priority="125" operator="greaterThan">
      <formula>39.99</formula>
    </cfRule>
    <cfRule type="cellIs" dxfId="2578" priority="143" operator="lessThan">
      <formula>40.1</formula>
    </cfRule>
    <cfRule type="cellIs" dxfId="2577" priority="144" operator="greaterThan">
      <formula>40</formula>
    </cfRule>
  </conditionalFormatting>
  <conditionalFormatting sqref="C41:F41">
    <cfRule type="cellIs" dxfId="2576" priority="141" operator="lessThan">
      <formula>0.15</formula>
    </cfRule>
    <cfRule type="cellIs" dxfId="2575" priority="142" operator="greaterThan">
      <formula>0.149</formula>
    </cfRule>
  </conditionalFormatting>
  <conditionalFormatting sqref="D42:E42">
    <cfRule type="cellIs" dxfId="2574" priority="139" operator="lessThan">
      <formula>0.5</formula>
    </cfRule>
    <cfRule type="cellIs" dxfId="2573" priority="140" operator="greaterThan">
      <formula>0.499</formula>
    </cfRule>
  </conditionalFormatting>
  <conditionalFormatting sqref="C42">
    <cfRule type="cellIs" dxfId="2572" priority="135" operator="lessThan">
      <formula>0.4</formula>
    </cfRule>
    <cfRule type="cellIs" dxfId="2571" priority="136" operator="greaterThan">
      <formula>0.399</formula>
    </cfRule>
    <cfRule type="cellIs" dxfId="2570" priority="137" operator="lessThan">
      <formula>0.4</formula>
    </cfRule>
    <cfRule type="cellIs" dxfId="2569" priority="138" operator="greaterThan">
      <formula>0.499</formula>
    </cfRule>
  </conditionalFormatting>
  <conditionalFormatting sqref="C38:F38">
    <cfRule type="cellIs" dxfId="2568" priority="133" operator="lessThan">
      <formula>0.3</formula>
    </cfRule>
    <cfRule type="cellIs" dxfId="2567" priority="134" operator="greaterThan">
      <formula>0.299</formula>
    </cfRule>
  </conditionalFormatting>
  <conditionalFormatting sqref="C47:C49">
    <cfRule type="cellIs" dxfId="2566" priority="122" operator="lessThan">
      <formula>1</formula>
    </cfRule>
    <cfRule type="cellIs" dxfId="2565" priority="123" operator="greaterThan">
      <formula>0.9</formula>
    </cfRule>
  </conditionalFormatting>
  <conditionalFormatting sqref="C52:C53">
    <cfRule type="cellIs" dxfId="2564" priority="120" operator="lessThan">
      <formula>24</formula>
    </cfRule>
    <cfRule type="cellIs" dxfId="2563" priority="121" operator="greaterThan">
      <formula>23.9</formula>
    </cfRule>
  </conditionalFormatting>
  <conditionalFormatting sqref="C56">
    <cfRule type="cellIs" dxfId="2562" priority="118" operator="lessThan">
      <formula>6</formula>
    </cfRule>
    <cfRule type="cellIs" dxfId="2561" priority="119" operator="greaterThan">
      <formula>5.99</formula>
    </cfRule>
  </conditionalFormatting>
  <conditionalFormatting sqref="H43">
    <cfRule type="cellIs" dxfId="2560" priority="112" operator="lessThan">
      <formula>49</formula>
    </cfRule>
    <cfRule type="cellIs" dxfId="2559" priority="113" operator="greaterThan">
      <formula>48.9</formula>
    </cfRule>
  </conditionalFormatting>
  <conditionalFormatting sqref="G43">
    <cfRule type="cellIs" dxfId="2558" priority="110" operator="lessThan">
      <formula>51</formula>
    </cfRule>
    <cfRule type="cellIs" dxfId="2557" priority="111" operator="greaterThan">
      <formula>50.9</formula>
    </cfRule>
  </conditionalFormatting>
  <conditionalFormatting sqref="F43">
    <cfRule type="cellIs" dxfId="2556" priority="108" operator="lessThan">
      <formula>53</formula>
    </cfRule>
    <cfRule type="cellIs" dxfId="2555" priority="109" operator="greaterThan">
      <formula>52.9</formula>
    </cfRule>
  </conditionalFormatting>
  <conditionalFormatting sqref="E43">
    <cfRule type="cellIs" dxfId="2554" priority="106" operator="lessThan">
      <formula>55</formula>
    </cfRule>
    <cfRule type="cellIs" dxfId="2553" priority="107" operator="greaterThan">
      <formula>54.9</formula>
    </cfRule>
  </conditionalFormatting>
  <conditionalFormatting sqref="D43">
    <cfRule type="cellIs" dxfId="2552" priority="104" operator="lessThan">
      <formula>57</formula>
    </cfRule>
    <cfRule type="cellIs" dxfId="2551" priority="105" operator="greaterThan">
      <formula>56.9</formula>
    </cfRule>
  </conditionalFormatting>
  <conditionalFormatting sqref="C43">
    <cfRule type="cellIs" dxfId="2550" priority="102" operator="lessThan">
      <formula>57</formula>
    </cfRule>
    <cfRule type="cellIs" dxfId="2549" priority="103" operator="greaterThan">
      <formula>56.9</formula>
    </cfRule>
  </conditionalFormatting>
  <conditionalFormatting sqref="H44">
    <cfRule type="cellIs" dxfId="2548" priority="100" operator="lessThan">
      <formula>53</formula>
    </cfRule>
    <cfRule type="cellIs" dxfId="2547" priority="101" operator="greaterThan">
      <formula>52.9</formula>
    </cfRule>
  </conditionalFormatting>
  <conditionalFormatting sqref="G44">
    <cfRule type="cellIs" dxfId="2546" priority="98" operator="lessThan">
      <formula>55</formula>
    </cfRule>
    <cfRule type="cellIs" dxfId="2545" priority="99" operator="greaterThan">
      <formula>54.9</formula>
    </cfRule>
  </conditionalFormatting>
  <conditionalFormatting sqref="F44">
    <cfRule type="cellIs" dxfId="2544" priority="96" operator="lessThan">
      <formula>57</formula>
    </cfRule>
    <cfRule type="cellIs" dxfId="2543" priority="97" operator="greaterThan">
      <formula>56.9</formula>
    </cfRule>
  </conditionalFormatting>
  <conditionalFormatting sqref="E44">
    <cfRule type="cellIs" dxfId="2542" priority="94" operator="lessThan">
      <formula>59</formula>
    </cfRule>
    <cfRule type="cellIs" dxfId="2541" priority="95" operator="greaterThan">
      <formula>58.9</formula>
    </cfRule>
  </conditionalFormatting>
  <conditionalFormatting sqref="D44">
    <cfRule type="cellIs" dxfId="2540" priority="92" operator="lessThan">
      <formula>61</formula>
    </cfRule>
    <cfRule type="cellIs" dxfId="2539" priority="93" operator="greaterThan">
      <formula>60.9</formula>
    </cfRule>
  </conditionalFormatting>
  <conditionalFormatting sqref="C44">
    <cfRule type="cellIs" dxfId="2538" priority="90" operator="lessThan">
      <formula>63</formula>
    </cfRule>
    <cfRule type="cellIs" dxfId="2537" priority="91" operator="greaterThan">
      <formula>62.9</formula>
    </cfRule>
  </conditionalFormatting>
  <conditionalFormatting sqref="C50">
    <cfRule type="cellIs" dxfId="2536" priority="88" operator="lessThanOrEqual">
      <formula>5</formula>
    </cfRule>
    <cfRule type="cellIs" dxfId="2535" priority="89" operator="greaterThanOrEqual">
      <formula>5</formula>
    </cfRule>
  </conditionalFormatting>
  <conditionalFormatting sqref="D50">
    <cfRule type="cellIs" dxfId="2534" priority="86" operator="greaterThanOrEqual">
      <formula>6</formula>
    </cfRule>
    <cfRule type="cellIs" dxfId="2533" priority="87" operator="lessThan">
      <formula>6</formula>
    </cfRule>
  </conditionalFormatting>
  <conditionalFormatting sqref="E50">
    <cfRule type="cellIs" dxfId="2532" priority="84" operator="greaterThanOrEqual">
      <formula>7</formula>
    </cfRule>
    <cfRule type="cellIs" dxfId="2531" priority="85" operator="lessThan">
      <formula>7</formula>
    </cfRule>
  </conditionalFormatting>
  <conditionalFormatting sqref="F50">
    <cfRule type="cellIs" dxfId="2530" priority="82" operator="lessThan">
      <formula>10</formula>
    </cfRule>
    <cfRule type="cellIs" dxfId="2529" priority="83" operator="greaterThanOrEqual">
      <formula>10</formula>
    </cfRule>
  </conditionalFormatting>
  <conditionalFormatting sqref="G50">
    <cfRule type="cellIs" dxfId="2528" priority="80" operator="lessThan">
      <formula>12</formula>
    </cfRule>
    <cfRule type="cellIs" dxfId="2527" priority="81" operator="greaterThanOrEqual">
      <formula>12</formula>
    </cfRule>
  </conditionalFormatting>
  <conditionalFormatting sqref="H50">
    <cfRule type="cellIs" dxfId="2526" priority="78" operator="lessThan">
      <formula>14</formula>
    </cfRule>
    <cfRule type="cellIs" dxfId="2525" priority="79" operator="greaterThanOrEqual">
      <formula>14</formula>
    </cfRule>
  </conditionalFormatting>
  <conditionalFormatting sqref="I50">
    <cfRule type="cellIs" dxfId="2524" priority="76" operator="lessThan">
      <formula>17</formula>
    </cfRule>
    <cfRule type="cellIs" dxfId="2523" priority="77" operator="greaterThanOrEqual">
      <formula>17</formula>
    </cfRule>
  </conditionalFormatting>
  <conditionalFormatting sqref="J50">
    <cfRule type="cellIs" dxfId="2522" priority="74" operator="lessThan">
      <formula>19</formula>
    </cfRule>
    <cfRule type="cellIs" dxfId="2521" priority="75" operator="greaterThanOrEqual">
      <formula>19</formula>
    </cfRule>
  </conditionalFormatting>
  <conditionalFormatting sqref="K50">
    <cfRule type="cellIs" dxfId="2520" priority="72" operator="lessThan">
      <formula>22</formula>
    </cfRule>
    <cfRule type="cellIs" dxfId="2519" priority="73" operator="greaterThanOrEqual">
      <formula>22</formula>
    </cfRule>
  </conditionalFormatting>
  <conditionalFormatting sqref="L50">
    <cfRule type="cellIs" dxfId="2518" priority="70" operator="lessThan">
      <formula>24</formula>
    </cfRule>
    <cfRule type="cellIs" dxfId="2517" priority="71" operator="greaterThanOrEqual">
      <formula>24</formula>
    </cfRule>
  </conditionalFormatting>
  <conditionalFormatting sqref="C51">
    <cfRule type="cellIs" dxfId="2516" priority="68" operator="lessThanOrEqual">
      <formula>5</formula>
    </cfRule>
    <cfRule type="cellIs" dxfId="2515" priority="69" operator="greaterThanOrEqual">
      <formula>5</formula>
    </cfRule>
  </conditionalFormatting>
  <conditionalFormatting sqref="D51">
    <cfRule type="cellIs" dxfId="2514" priority="66" operator="greaterThanOrEqual">
      <formula>6</formula>
    </cfRule>
    <cfRule type="cellIs" dxfId="2513" priority="67" operator="lessThan">
      <formula>6</formula>
    </cfRule>
  </conditionalFormatting>
  <conditionalFormatting sqref="E51">
    <cfRule type="cellIs" dxfId="2512" priority="64" operator="greaterThanOrEqual">
      <formula>7</formula>
    </cfRule>
    <cfRule type="cellIs" dxfId="2511" priority="65" operator="lessThan">
      <formula>7</formula>
    </cfRule>
  </conditionalFormatting>
  <conditionalFormatting sqref="F51">
    <cfRule type="cellIs" dxfId="2510" priority="62" operator="lessThan">
      <formula>10</formula>
    </cfRule>
    <cfRule type="cellIs" dxfId="2509" priority="63" operator="greaterThanOrEqual">
      <formula>10</formula>
    </cfRule>
  </conditionalFormatting>
  <conditionalFormatting sqref="G51">
    <cfRule type="cellIs" dxfId="2508" priority="60" operator="lessThan">
      <formula>12</formula>
    </cfRule>
    <cfRule type="cellIs" dxfId="2507" priority="61" operator="greaterThanOrEqual">
      <formula>12</formula>
    </cfRule>
  </conditionalFormatting>
  <conditionalFormatting sqref="H51">
    <cfRule type="cellIs" dxfId="2506" priority="58" operator="lessThan">
      <formula>14</formula>
    </cfRule>
    <cfRule type="cellIs" dxfId="2505" priority="59" operator="greaterThanOrEqual">
      <formula>14</formula>
    </cfRule>
  </conditionalFormatting>
  <conditionalFormatting sqref="I51">
    <cfRule type="cellIs" dxfId="2504" priority="56" operator="lessThan">
      <formula>17</formula>
    </cfRule>
    <cfRule type="cellIs" dxfId="2503" priority="57" operator="greaterThanOrEqual">
      <formula>17</formula>
    </cfRule>
  </conditionalFormatting>
  <conditionalFormatting sqref="J51">
    <cfRule type="cellIs" dxfId="2502" priority="54" operator="lessThan">
      <formula>19</formula>
    </cfRule>
    <cfRule type="cellIs" dxfId="2501" priority="55" operator="greaterThanOrEqual">
      <formula>19</formula>
    </cfRule>
  </conditionalFormatting>
  <conditionalFormatting sqref="K51">
    <cfRule type="cellIs" dxfId="2500" priority="52" operator="lessThan">
      <formula>22</formula>
    </cfRule>
    <cfRule type="cellIs" dxfId="2499" priority="53" operator="greaterThanOrEqual">
      <formula>22</formula>
    </cfRule>
  </conditionalFormatting>
  <conditionalFormatting sqref="L51">
    <cfRule type="cellIs" dxfId="2498" priority="50" operator="lessThan">
      <formula>24</formula>
    </cfRule>
    <cfRule type="cellIs" dxfId="2497" priority="51" operator="greaterThanOrEqual">
      <formula>24</formula>
    </cfRule>
  </conditionalFormatting>
  <conditionalFormatting sqref="C54">
    <cfRule type="cellIs" dxfId="2496" priority="39" operator="greaterThanOrEqual">
      <formula>0.08</formula>
    </cfRule>
    <cfRule type="cellIs" dxfId="2495" priority="49" operator="lessThan">
      <formula>0.08</formula>
    </cfRule>
  </conditionalFormatting>
  <conditionalFormatting sqref="D54">
    <cfRule type="cellIs" dxfId="2494" priority="38" operator="greaterThanOrEqual">
      <formula>0.1</formula>
    </cfRule>
    <cfRule type="cellIs" dxfId="2493" priority="48" operator="lessThan">
      <formula>0.1</formula>
    </cfRule>
  </conditionalFormatting>
  <conditionalFormatting sqref="E54">
    <cfRule type="cellIs" dxfId="2492" priority="37" operator="greaterThanOrEqual">
      <formula>1</formula>
    </cfRule>
    <cfRule type="cellIs" dxfId="2491" priority="47" operator="lessThan">
      <formula>1</formula>
    </cfRule>
  </conditionalFormatting>
  <conditionalFormatting sqref="F54">
    <cfRule type="cellIs" dxfId="2490" priority="36" operator="greaterThanOrEqual">
      <formula>1.02</formula>
    </cfRule>
    <cfRule type="cellIs" dxfId="2489" priority="46" operator="lessThan">
      <formula>1.02</formula>
    </cfRule>
  </conditionalFormatting>
  <conditionalFormatting sqref="G54">
    <cfRule type="cellIs" dxfId="2488" priority="35" operator="greaterThanOrEqual">
      <formula>1.04</formula>
    </cfRule>
    <cfRule type="cellIs" dxfId="2487" priority="45" operator="lessThan">
      <formula>1.04</formula>
    </cfRule>
  </conditionalFormatting>
  <conditionalFormatting sqref="H54">
    <cfRule type="cellIs" dxfId="2486" priority="34" operator="greaterThanOrEqual">
      <formula>1.06</formula>
    </cfRule>
    <cfRule type="cellIs" dxfId="2485" priority="44" operator="lessThan">
      <formula>1.06</formula>
    </cfRule>
  </conditionalFormatting>
  <conditionalFormatting sqref="I54">
    <cfRule type="cellIs" dxfId="2484" priority="33" operator="greaterThanOrEqual">
      <formula>1.08</formula>
    </cfRule>
    <cfRule type="cellIs" dxfId="2483" priority="43" operator="lessThan">
      <formula>1.08</formula>
    </cfRule>
  </conditionalFormatting>
  <conditionalFormatting sqref="J54">
    <cfRule type="cellIs" dxfId="2482" priority="32" operator="greaterThanOrEqual">
      <formula>1.1</formula>
    </cfRule>
    <cfRule type="cellIs" dxfId="2481" priority="42" operator="lessThan">
      <formula>1.1</formula>
    </cfRule>
  </conditionalFormatting>
  <conditionalFormatting sqref="K54">
    <cfRule type="cellIs" dxfId="2480" priority="31" operator="greaterThanOrEqual">
      <formula>2</formula>
    </cfRule>
    <cfRule type="cellIs" dxfId="2479" priority="41" operator="lessThan">
      <formula>2</formula>
    </cfRule>
  </conditionalFormatting>
  <conditionalFormatting sqref="L54">
    <cfRule type="cellIs" dxfId="2478" priority="30" operator="greaterThanOrEqual">
      <formula>2.04</formula>
    </cfRule>
    <cfRule type="cellIs" dxfId="2477" priority="40" operator="lessThan">
      <formula>2.04</formula>
    </cfRule>
  </conditionalFormatting>
  <conditionalFormatting sqref="C55">
    <cfRule type="cellIs" dxfId="2476" priority="26" operator="lessThan">
      <formula>3.08</formula>
    </cfRule>
    <cfRule type="cellIs" dxfId="2475" priority="29" operator="greaterThanOrEqual">
      <formula>3.08</formula>
    </cfRule>
  </conditionalFormatting>
  <conditionalFormatting sqref="D55">
    <cfRule type="cellIs" dxfId="2474" priority="25" operator="lessThan">
      <formula>4.02</formula>
    </cfRule>
    <cfRule type="cellIs" dxfId="2473" priority="28" operator="greaterThanOrEqual">
      <formula>4.02</formula>
    </cfRule>
  </conditionalFormatting>
  <conditionalFormatting sqref="E55">
    <cfRule type="cellIs" dxfId="2472" priority="24" operator="lessThan">
      <formula>4.08</formula>
    </cfRule>
    <cfRule type="cellIs" dxfId="2471" priority="27" operator="greaterThanOrEqual">
      <formula>4.08</formula>
    </cfRule>
  </conditionalFormatting>
  <conditionalFormatting sqref="F55">
    <cfRule type="cellIs" dxfId="2470" priority="22" operator="lessThan">
      <formula>5.02</formula>
    </cfRule>
    <cfRule type="cellIs" dxfId="2469" priority="23" operator="greaterThanOrEqual">
      <formula>5.02</formula>
    </cfRule>
  </conditionalFormatting>
  <conditionalFormatting sqref="G55">
    <cfRule type="cellIs" dxfId="2468" priority="19" operator="lessThan">
      <formula>5.08</formula>
    </cfRule>
    <cfRule type="cellIs" dxfId="2467" priority="21" operator="greaterThanOrEqual">
      <formula>5.08</formula>
    </cfRule>
  </conditionalFormatting>
  <conditionalFormatting sqref="H55">
    <cfRule type="cellIs" dxfId="2466" priority="10" operator="greaterThanOrEqual">
      <formula>6.02</formula>
    </cfRule>
    <cfRule type="cellIs" dxfId="2465" priority="20" operator="lessThan">
      <formula>6.08</formula>
    </cfRule>
  </conditionalFormatting>
  <conditionalFormatting sqref="I55">
    <cfRule type="cellIs" dxfId="2464" priority="17" operator="lessThan">
      <formula>6.08</formula>
    </cfRule>
    <cfRule type="cellIs" dxfId="2463" priority="18" operator="greaterThanOrEqual">
      <formula>6.08</formula>
    </cfRule>
  </conditionalFormatting>
  <conditionalFormatting sqref="J55">
    <cfRule type="cellIs" dxfId="2462" priority="15" operator="lessThan">
      <formula>7.02</formula>
    </cfRule>
    <cfRule type="cellIs" dxfId="2461" priority="16" operator="greaterThanOrEqual">
      <formula>7.02</formula>
    </cfRule>
  </conditionalFormatting>
  <conditionalFormatting sqref="K55">
    <cfRule type="cellIs" dxfId="2460" priority="13" operator="lessThan">
      <formula>7.08</formula>
    </cfRule>
    <cfRule type="cellIs" dxfId="2459" priority="14" operator="greaterThanOrEqual">
      <formula>7.08</formula>
    </cfRule>
  </conditionalFormatting>
  <conditionalFormatting sqref="L55">
    <cfRule type="cellIs" dxfId="2458" priority="11" operator="lessThan">
      <formula>8</formula>
    </cfRule>
    <cfRule type="cellIs" dxfId="2457" priority="12" operator="greaterThanOrEqual">
      <formula>8</formula>
    </cfRule>
  </conditionalFormatting>
  <conditionalFormatting sqref="H36">
    <cfRule type="cellIs" dxfId="2456" priority="8" operator="greaterThan">
      <formula>11.9</formula>
    </cfRule>
    <cfRule type="cellIs" dxfId="2455" priority="9" operator="lessThan">
      <formula>12</formula>
    </cfRule>
  </conditionalFormatting>
  <conditionalFormatting sqref="I86">
    <cfRule type="cellIs" dxfId="2454" priority="1" operator="lessThan">
      <formula>1</formula>
    </cfRule>
    <cfRule type="cellIs" dxfId="2453" priority="2" operator="lessThan">
      <formula>0</formula>
    </cfRule>
    <cfRule type="cellIs" dxfId="2452" priority="3" operator="lessThan">
      <formula>0</formula>
    </cfRule>
  </conditionalFormatting>
  <conditionalFormatting sqref="I79">
    <cfRule type="cellIs" dxfId="2451" priority="5" operator="lessThan">
      <formula>1</formula>
    </cfRule>
    <cfRule type="cellIs" dxfId="2450" priority="6" operator="lessThan">
      <formula>0</formula>
    </cfRule>
    <cfRule type="cellIs" dxfId="2449" priority="7" operator="lessThan">
      <formula>0</formula>
    </cfRule>
  </conditionalFormatting>
  <conditionalFormatting sqref="I89:I90 I93:I94">
    <cfRule type="cellIs" dxfId="2448" priority="4" operator="lessThan">
      <formula>1</formula>
    </cfRule>
  </conditionalFormatting>
  <printOptions gridLines="1"/>
  <pageMargins left="0.7" right="0.7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11"/>
  <sheetViews>
    <sheetView topLeftCell="A29" zoomScale="78" zoomScaleNormal="78" workbookViewId="0">
      <selection activeCell="I95" sqref="I95"/>
    </sheetView>
  </sheetViews>
  <sheetFormatPr defaultRowHeight="15" x14ac:dyDescent="0.25"/>
  <cols>
    <col min="1" max="1" width="36.5703125" customWidth="1"/>
    <col min="2" max="2" width="13.7109375" customWidth="1"/>
    <col min="3" max="4" width="14.85546875" customWidth="1"/>
    <col min="5" max="12" width="15.7109375" customWidth="1"/>
    <col min="13" max="13" width="2.85546875" style="29" customWidth="1"/>
    <col min="14" max="15" width="15.7109375" customWidth="1"/>
  </cols>
  <sheetData>
    <row r="1" spans="1:17" ht="36.75" customHeight="1" x14ac:dyDescent="0.25">
      <c r="A1" s="67" t="s">
        <v>62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7" x14ac:dyDescent="0.25">
      <c r="B2" s="1" t="s">
        <v>21</v>
      </c>
      <c r="C2" s="20" t="s">
        <v>131</v>
      </c>
      <c r="D2" s="20" t="s">
        <v>132</v>
      </c>
      <c r="E2" s="6" t="s">
        <v>133</v>
      </c>
      <c r="F2" s="6" t="s">
        <v>134</v>
      </c>
      <c r="G2" s="7" t="s">
        <v>135</v>
      </c>
      <c r="H2" s="7" t="s">
        <v>136</v>
      </c>
      <c r="I2" s="8" t="s">
        <v>137</v>
      </c>
      <c r="J2" s="8" t="s">
        <v>138</v>
      </c>
      <c r="K2" s="9" t="s">
        <v>139</v>
      </c>
      <c r="L2" s="23" t="s">
        <v>140</v>
      </c>
      <c r="M2" s="10"/>
      <c r="N2" s="71" t="s">
        <v>203</v>
      </c>
      <c r="O2" s="72"/>
      <c r="P2" s="21"/>
      <c r="Q2" s="21"/>
    </row>
    <row r="3" spans="1:17" ht="18.75" x14ac:dyDescent="0.3">
      <c r="A3" s="3" t="s">
        <v>0</v>
      </c>
      <c r="B3" s="30"/>
      <c r="C3" s="30"/>
      <c r="D3" s="29"/>
      <c r="E3" s="29"/>
      <c r="F3" s="29"/>
      <c r="G3" s="29"/>
      <c r="H3" s="29"/>
      <c r="I3" s="29"/>
      <c r="J3" s="29"/>
      <c r="K3" s="29"/>
      <c r="L3" s="29"/>
      <c r="N3" s="1" t="s">
        <v>141</v>
      </c>
      <c r="O3" s="21"/>
      <c r="P3" s="21"/>
      <c r="Q3" s="21"/>
    </row>
    <row r="4" spans="1:17" x14ac:dyDescent="0.25">
      <c r="A4" s="2" t="s">
        <v>1</v>
      </c>
      <c r="B4" s="2" t="s">
        <v>22</v>
      </c>
      <c r="C4" s="19">
        <f t="shared" ref="C4:C10" si="0">N4</f>
        <v>4</v>
      </c>
      <c r="D4" s="18">
        <f t="shared" ref="D4:D10" si="1">N4</f>
        <v>4</v>
      </c>
      <c r="E4" s="18">
        <f t="shared" ref="E4:E10" si="2">N4</f>
        <v>4</v>
      </c>
      <c r="F4" s="18">
        <f t="shared" ref="F4:F10" si="3">N4</f>
        <v>4</v>
      </c>
      <c r="G4" s="18">
        <f t="shared" ref="G4:G10" si="4">N4</f>
        <v>4</v>
      </c>
      <c r="H4" s="18">
        <f t="shared" ref="H4:H10" si="5">N4</f>
        <v>4</v>
      </c>
      <c r="I4" s="18">
        <f t="shared" ref="I4:I10" si="6">N4</f>
        <v>4</v>
      </c>
      <c r="J4" s="18">
        <f t="shared" ref="J4:J10" si="7">N4</f>
        <v>4</v>
      </c>
      <c r="K4" s="18">
        <f t="shared" ref="K4:K10" si="8">N4</f>
        <v>4</v>
      </c>
      <c r="L4" s="18">
        <f>N4</f>
        <v>4</v>
      </c>
      <c r="N4" s="18">
        <v>4</v>
      </c>
    </row>
    <row r="5" spans="1:17" x14ac:dyDescent="0.25">
      <c r="A5" s="2" t="s">
        <v>2</v>
      </c>
      <c r="B5" s="2" t="s">
        <v>22</v>
      </c>
      <c r="C5" s="19">
        <f t="shared" si="0"/>
        <v>4</v>
      </c>
      <c r="D5" s="18">
        <f t="shared" si="1"/>
        <v>4</v>
      </c>
      <c r="E5" s="18">
        <f t="shared" si="2"/>
        <v>4</v>
      </c>
      <c r="F5" s="18">
        <f t="shared" si="3"/>
        <v>4</v>
      </c>
      <c r="G5" s="18">
        <f t="shared" si="4"/>
        <v>4</v>
      </c>
      <c r="H5" s="18">
        <f t="shared" si="5"/>
        <v>4</v>
      </c>
      <c r="I5" s="18">
        <f t="shared" si="6"/>
        <v>4</v>
      </c>
      <c r="J5" s="18">
        <f t="shared" si="7"/>
        <v>4</v>
      </c>
      <c r="K5" s="18">
        <f t="shared" si="8"/>
        <v>4</v>
      </c>
      <c r="L5" s="18">
        <f t="shared" ref="L5:L10" si="9">N5</f>
        <v>4</v>
      </c>
      <c r="N5" s="18">
        <v>4</v>
      </c>
    </row>
    <row r="6" spans="1:17" x14ac:dyDescent="0.25">
      <c r="A6" s="2" t="s">
        <v>3</v>
      </c>
      <c r="B6" s="2" t="s">
        <v>22</v>
      </c>
      <c r="C6" s="19">
        <f t="shared" si="0"/>
        <v>3</v>
      </c>
      <c r="D6" s="19">
        <f t="shared" si="1"/>
        <v>3</v>
      </c>
      <c r="E6" s="18">
        <f t="shared" si="2"/>
        <v>3</v>
      </c>
      <c r="F6" s="18">
        <f t="shared" si="3"/>
        <v>3</v>
      </c>
      <c r="G6" s="18">
        <f t="shared" si="4"/>
        <v>3</v>
      </c>
      <c r="H6" s="18">
        <f t="shared" si="5"/>
        <v>3</v>
      </c>
      <c r="I6" s="18">
        <f t="shared" si="6"/>
        <v>3</v>
      </c>
      <c r="J6" s="18">
        <f t="shared" si="7"/>
        <v>3</v>
      </c>
      <c r="K6" s="18">
        <f t="shared" si="8"/>
        <v>3</v>
      </c>
      <c r="L6" s="18">
        <f t="shared" si="9"/>
        <v>3</v>
      </c>
      <c r="N6" s="18">
        <v>3</v>
      </c>
    </row>
    <row r="7" spans="1:17" x14ac:dyDescent="0.25">
      <c r="A7" s="2" t="s">
        <v>4</v>
      </c>
      <c r="B7" s="2" t="s">
        <v>22</v>
      </c>
      <c r="C7" s="19">
        <f t="shared" si="0"/>
        <v>3</v>
      </c>
      <c r="D7" s="19">
        <f t="shared" si="1"/>
        <v>3</v>
      </c>
      <c r="E7" s="18">
        <f t="shared" si="2"/>
        <v>3</v>
      </c>
      <c r="F7" s="18">
        <f t="shared" si="3"/>
        <v>3</v>
      </c>
      <c r="G7" s="18">
        <f t="shared" si="4"/>
        <v>3</v>
      </c>
      <c r="H7" s="18">
        <f t="shared" si="5"/>
        <v>3</v>
      </c>
      <c r="I7" s="18">
        <f t="shared" si="6"/>
        <v>3</v>
      </c>
      <c r="J7" s="18">
        <f t="shared" si="7"/>
        <v>3</v>
      </c>
      <c r="K7" s="18">
        <f t="shared" si="8"/>
        <v>3</v>
      </c>
      <c r="L7" s="18">
        <f t="shared" si="9"/>
        <v>3</v>
      </c>
      <c r="N7" s="18">
        <v>3</v>
      </c>
    </row>
    <row r="8" spans="1:17" x14ac:dyDescent="0.25">
      <c r="A8" s="2" t="s">
        <v>5</v>
      </c>
      <c r="B8" s="2" t="s">
        <v>22</v>
      </c>
      <c r="C8" s="19">
        <f t="shared" si="0"/>
        <v>2</v>
      </c>
      <c r="D8" s="19">
        <f t="shared" si="1"/>
        <v>2</v>
      </c>
      <c r="E8" s="18">
        <f t="shared" si="2"/>
        <v>2</v>
      </c>
      <c r="F8" s="18">
        <f t="shared" si="3"/>
        <v>2</v>
      </c>
      <c r="G8" s="18">
        <f t="shared" si="4"/>
        <v>2</v>
      </c>
      <c r="H8" s="18">
        <f t="shared" si="5"/>
        <v>2</v>
      </c>
      <c r="I8" s="18">
        <f t="shared" si="6"/>
        <v>2</v>
      </c>
      <c r="J8" s="18">
        <f t="shared" si="7"/>
        <v>2</v>
      </c>
      <c r="K8" s="18">
        <f t="shared" si="8"/>
        <v>2</v>
      </c>
      <c r="L8" s="18">
        <f t="shared" si="9"/>
        <v>2</v>
      </c>
      <c r="N8" s="18">
        <v>2</v>
      </c>
    </row>
    <row r="9" spans="1:17" x14ac:dyDescent="0.25">
      <c r="A9" s="2" t="s">
        <v>6</v>
      </c>
      <c r="B9" s="2" t="s">
        <v>1</v>
      </c>
      <c r="C9" s="19">
        <f t="shared" si="0"/>
        <v>2</v>
      </c>
      <c r="D9" s="19">
        <f t="shared" si="1"/>
        <v>2</v>
      </c>
      <c r="E9" s="18">
        <f t="shared" si="2"/>
        <v>2</v>
      </c>
      <c r="F9" s="18">
        <f t="shared" si="3"/>
        <v>2</v>
      </c>
      <c r="G9" s="18">
        <f t="shared" si="4"/>
        <v>2</v>
      </c>
      <c r="H9" s="18">
        <f t="shared" si="5"/>
        <v>2</v>
      </c>
      <c r="I9" s="18">
        <f t="shared" si="6"/>
        <v>2</v>
      </c>
      <c r="J9" s="18">
        <f t="shared" si="7"/>
        <v>2</v>
      </c>
      <c r="K9" s="18">
        <f t="shared" si="8"/>
        <v>2</v>
      </c>
      <c r="L9" s="18">
        <f t="shared" si="9"/>
        <v>2</v>
      </c>
      <c r="N9" s="18">
        <v>2</v>
      </c>
    </row>
    <row r="10" spans="1:17" x14ac:dyDescent="0.25">
      <c r="A10" s="2" t="s">
        <v>7</v>
      </c>
      <c r="B10" s="2" t="s">
        <v>2</v>
      </c>
      <c r="C10" s="19">
        <f t="shared" si="0"/>
        <v>4</v>
      </c>
      <c r="D10" s="19">
        <f t="shared" si="1"/>
        <v>4</v>
      </c>
      <c r="E10" s="18">
        <f t="shared" si="2"/>
        <v>4</v>
      </c>
      <c r="F10" s="18">
        <f t="shared" si="3"/>
        <v>4</v>
      </c>
      <c r="G10" s="18">
        <f t="shared" si="4"/>
        <v>4</v>
      </c>
      <c r="H10" s="18">
        <f t="shared" si="5"/>
        <v>4</v>
      </c>
      <c r="I10" s="18">
        <f t="shared" si="6"/>
        <v>4</v>
      </c>
      <c r="J10" s="18">
        <f t="shared" si="7"/>
        <v>4</v>
      </c>
      <c r="K10" s="18">
        <f t="shared" si="8"/>
        <v>4</v>
      </c>
      <c r="L10" s="18">
        <f t="shared" si="9"/>
        <v>4</v>
      </c>
      <c r="N10" s="18">
        <v>4</v>
      </c>
    </row>
    <row r="11" spans="1:17" ht="18.75" x14ac:dyDescent="0.3">
      <c r="A11" s="3" t="s">
        <v>8</v>
      </c>
      <c r="B11" s="1"/>
      <c r="C11" s="1"/>
      <c r="D11" s="18"/>
      <c r="J11" s="11"/>
      <c r="K11" s="11"/>
      <c r="L11" s="11"/>
      <c r="N11" s="18"/>
    </row>
    <row r="12" spans="1:17" x14ac:dyDescent="0.25">
      <c r="A12" s="2" t="s">
        <v>10</v>
      </c>
      <c r="B12" s="2" t="s">
        <v>2</v>
      </c>
      <c r="C12" s="18">
        <f t="shared" ref="C12:C22" si="10">N12</f>
        <v>1</v>
      </c>
      <c r="D12" s="18">
        <f t="shared" ref="D12:D22" si="11">N12</f>
        <v>1</v>
      </c>
      <c r="E12" s="18">
        <f t="shared" ref="E12:E22" si="12">N12</f>
        <v>1</v>
      </c>
      <c r="F12" s="18">
        <f t="shared" ref="F12:F22" si="13">N12</f>
        <v>1</v>
      </c>
      <c r="G12" s="18">
        <f t="shared" ref="G12:G22" si="14">N12</f>
        <v>1</v>
      </c>
      <c r="H12" s="18">
        <f t="shared" ref="H12:H22" si="15">N12</f>
        <v>1</v>
      </c>
      <c r="I12" s="18">
        <f t="shared" ref="I12:I22" si="16">N12</f>
        <v>1</v>
      </c>
      <c r="J12" s="18">
        <f t="shared" ref="J12:J22" si="17">N12</f>
        <v>1</v>
      </c>
      <c r="K12" s="18">
        <f t="shared" ref="K12:K22" si="18">N12</f>
        <v>1</v>
      </c>
      <c r="L12" s="18">
        <f t="shared" ref="L12:L22" si="19">N12</f>
        <v>1</v>
      </c>
      <c r="N12" s="18">
        <v>1</v>
      </c>
    </row>
    <row r="13" spans="1:17" x14ac:dyDescent="0.25">
      <c r="A13" s="2" t="s">
        <v>9</v>
      </c>
      <c r="B13" s="2" t="s">
        <v>2</v>
      </c>
      <c r="C13" s="18">
        <f t="shared" si="10"/>
        <v>4</v>
      </c>
      <c r="D13" s="18">
        <f t="shared" si="11"/>
        <v>4</v>
      </c>
      <c r="E13" s="18">
        <f t="shared" si="12"/>
        <v>4</v>
      </c>
      <c r="F13" s="18">
        <f t="shared" si="13"/>
        <v>4</v>
      </c>
      <c r="G13" s="18">
        <f t="shared" si="14"/>
        <v>4</v>
      </c>
      <c r="H13" s="18">
        <f t="shared" si="15"/>
        <v>4</v>
      </c>
      <c r="I13" s="18">
        <f t="shared" si="16"/>
        <v>4</v>
      </c>
      <c r="J13" s="18">
        <f t="shared" si="17"/>
        <v>4</v>
      </c>
      <c r="K13" s="18">
        <f t="shared" si="18"/>
        <v>4</v>
      </c>
      <c r="L13" s="18">
        <f t="shared" si="19"/>
        <v>4</v>
      </c>
      <c r="N13" s="18">
        <v>4</v>
      </c>
    </row>
    <row r="14" spans="1:17" x14ac:dyDescent="0.25">
      <c r="A14" s="2" t="s">
        <v>11</v>
      </c>
      <c r="B14" s="2" t="s">
        <v>72</v>
      </c>
      <c r="C14" s="18">
        <f t="shared" si="10"/>
        <v>0</v>
      </c>
      <c r="D14" s="18">
        <f t="shared" si="11"/>
        <v>0</v>
      </c>
      <c r="E14" s="18">
        <f t="shared" si="12"/>
        <v>0</v>
      </c>
      <c r="F14" s="18">
        <f t="shared" si="13"/>
        <v>0</v>
      </c>
      <c r="G14" s="18">
        <f t="shared" si="14"/>
        <v>0</v>
      </c>
      <c r="H14" s="18">
        <f t="shared" si="15"/>
        <v>0</v>
      </c>
      <c r="I14" s="18">
        <f t="shared" si="16"/>
        <v>0</v>
      </c>
      <c r="J14" s="18">
        <f t="shared" si="17"/>
        <v>0</v>
      </c>
      <c r="K14" s="18">
        <f t="shared" si="18"/>
        <v>0</v>
      </c>
      <c r="L14" s="18">
        <f t="shared" si="19"/>
        <v>0</v>
      </c>
      <c r="N14" s="18">
        <v>0</v>
      </c>
    </row>
    <row r="15" spans="1:17" x14ac:dyDescent="0.25">
      <c r="A15" s="2" t="s">
        <v>12</v>
      </c>
      <c r="B15" s="2" t="s">
        <v>23</v>
      </c>
      <c r="C15" s="18">
        <f t="shared" si="10"/>
        <v>3</v>
      </c>
      <c r="D15" s="18">
        <f t="shared" si="11"/>
        <v>3</v>
      </c>
      <c r="E15" s="18">
        <f t="shared" si="12"/>
        <v>3</v>
      </c>
      <c r="F15" s="18">
        <f t="shared" si="13"/>
        <v>3</v>
      </c>
      <c r="G15" s="18">
        <f t="shared" si="14"/>
        <v>3</v>
      </c>
      <c r="H15" s="18">
        <f t="shared" si="15"/>
        <v>3</v>
      </c>
      <c r="I15" s="18">
        <f t="shared" si="16"/>
        <v>3</v>
      </c>
      <c r="J15" s="18">
        <f t="shared" si="17"/>
        <v>3</v>
      </c>
      <c r="K15" s="18">
        <f t="shared" si="18"/>
        <v>3</v>
      </c>
      <c r="L15" s="18">
        <f t="shared" si="19"/>
        <v>3</v>
      </c>
      <c r="N15" s="18">
        <v>3</v>
      </c>
    </row>
    <row r="16" spans="1:17" x14ac:dyDescent="0.25">
      <c r="A16" s="2" t="s">
        <v>13</v>
      </c>
      <c r="B16" s="2" t="s">
        <v>23</v>
      </c>
      <c r="C16" s="18">
        <f t="shared" si="10"/>
        <v>2</v>
      </c>
      <c r="D16" s="18">
        <f t="shared" si="11"/>
        <v>2</v>
      </c>
      <c r="E16" s="18">
        <f t="shared" si="12"/>
        <v>2</v>
      </c>
      <c r="F16" s="18">
        <f t="shared" si="13"/>
        <v>2</v>
      </c>
      <c r="G16" s="18">
        <f t="shared" si="14"/>
        <v>2</v>
      </c>
      <c r="H16" s="18">
        <f t="shared" si="15"/>
        <v>2</v>
      </c>
      <c r="I16" s="18">
        <f t="shared" si="16"/>
        <v>2</v>
      </c>
      <c r="J16" s="18">
        <f t="shared" si="17"/>
        <v>2</v>
      </c>
      <c r="K16" s="18">
        <f t="shared" si="18"/>
        <v>2</v>
      </c>
      <c r="L16" s="18">
        <f t="shared" si="19"/>
        <v>2</v>
      </c>
      <c r="N16" s="18">
        <v>2</v>
      </c>
    </row>
    <row r="17" spans="1:14" x14ac:dyDescent="0.25">
      <c r="A17" s="2" t="s">
        <v>14</v>
      </c>
      <c r="B17" s="2" t="s">
        <v>23</v>
      </c>
      <c r="C17" s="18">
        <f t="shared" si="10"/>
        <v>0</v>
      </c>
      <c r="D17" s="18">
        <f t="shared" si="11"/>
        <v>0</v>
      </c>
      <c r="E17" s="18">
        <f t="shared" si="12"/>
        <v>0</v>
      </c>
      <c r="F17" s="18">
        <f t="shared" si="13"/>
        <v>0</v>
      </c>
      <c r="G17" s="18">
        <f t="shared" si="14"/>
        <v>0</v>
      </c>
      <c r="H17" s="18">
        <f t="shared" si="15"/>
        <v>0</v>
      </c>
      <c r="I17" s="18">
        <f t="shared" si="16"/>
        <v>0</v>
      </c>
      <c r="J17" s="18">
        <f t="shared" si="17"/>
        <v>0</v>
      </c>
      <c r="K17" s="18">
        <f t="shared" si="18"/>
        <v>0</v>
      </c>
      <c r="L17" s="18">
        <f t="shared" si="19"/>
        <v>0</v>
      </c>
      <c r="N17" s="18">
        <v>0</v>
      </c>
    </row>
    <row r="18" spans="1:14" x14ac:dyDescent="0.25">
      <c r="A18" s="2" t="s">
        <v>15</v>
      </c>
      <c r="B18" s="2" t="s">
        <v>6</v>
      </c>
      <c r="C18" s="19">
        <f t="shared" si="10"/>
        <v>3</v>
      </c>
      <c r="D18" s="19">
        <f t="shared" si="11"/>
        <v>3</v>
      </c>
      <c r="E18" s="18">
        <f t="shared" si="12"/>
        <v>3</v>
      </c>
      <c r="F18" s="18">
        <f t="shared" si="13"/>
        <v>3</v>
      </c>
      <c r="G18" s="18">
        <f t="shared" si="14"/>
        <v>3</v>
      </c>
      <c r="H18" s="18">
        <f t="shared" si="15"/>
        <v>3</v>
      </c>
      <c r="I18" s="18">
        <f t="shared" si="16"/>
        <v>3</v>
      </c>
      <c r="J18" s="18">
        <f t="shared" si="17"/>
        <v>3</v>
      </c>
      <c r="K18" s="18">
        <f t="shared" si="18"/>
        <v>3</v>
      </c>
      <c r="L18" s="18">
        <f t="shared" si="19"/>
        <v>3</v>
      </c>
      <c r="N18" s="18">
        <v>3</v>
      </c>
    </row>
    <row r="19" spans="1:14" x14ac:dyDescent="0.25">
      <c r="A19" s="2" t="s">
        <v>16</v>
      </c>
      <c r="B19" s="2" t="s">
        <v>6</v>
      </c>
      <c r="C19" s="19">
        <f t="shared" si="10"/>
        <v>2</v>
      </c>
      <c r="D19" s="19">
        <f t="shared" si="11"/>
        <v>2</v>
      </c>
      <c r="E19" s="18">
        <f t="shared" si="12"/>
        <v>2</v>
      </c>
      <c r="F19" s="18">
        <f t="shared" si="13"/>
        <v>2</v>
      </c>
      <c r="G19" s="18">
        <f t="shared" si="14"/>
        <v>2</v>
      </c>
      <c r="H19" s="18">
        <f t="shared" si="15"/>
        <v>2</v>
      </c>
      <c r="I19" s="18">
        <f t="shared" si="16"/>
        <v>2</v>
      </c>
      <c r="J19" s="18">
        <f t="shared" si="17"/>
        <v>2</v>
      </c>
      <c r="K19" s="18">
        <f t="shared" si="18"/>
        <v>2</v>
      </c>
      <c r="L19" s="18">
        <f t="shared" si="19"/>
        <v>2</v>
      </c>
      <c r="N19" s="18">
        <v>2</v>
      </c>
    </row>
    <row r="20" spans="1:14" x14ac:dyDescent="0.25">
      <c r="A20" s="2" t="s">
        <v>17</v>
      </c>
      <c r="B20" s="2" t="s">
        <v>6</v>
      </c>
      <c r="C20" s="19">
        <f t="shared" si="10"/>
        <v>1</v>
      </c>
      <c r="D20" s="19">
        <f t="shared" si="11"/>
        <v>1</v>
      </c>
      <c r="E20" s="19">
        <f t="shared" si="12"/>
        <v>1</v>
      </c>
      <c r="F20" s="18">
        <f t="shared" si="13"/>
        <v>1</v>
      </c>
      <c r="G20" s="18">
        <f t="shared" si="14"/>
        <v>1</v>
      </c>
      <c r="H20" s="18">
        <f t="shared" si="15"/>
        <v>1</v>
      </c>
      <c r="I20" s="18">
        <f t="shared" si="16"/>
        <v>1</v>
      </c>
      <c r="J20" s="18">
        <f t="shared" si="17"/>
        <v>1</v>
      </c>
      <c r="K20" s="18">
        <f t="shared" si="18"/>
        <v>1</v>
      </c>
      <c r="L20" s="18">
        <f t="shared" si="19"/>
        <v>1</v>
      </c>
      <c r="N20" s="18">
        <v>1</v>
      </c>
    </row>
    <row r="21" spans="1:14" x14ac:dyDescent="0.25">
      <c r="A21" s="2" t="s">
        <v>18</v>
      </c>
      <c r="B21" s="2" t="s">
        <v>24</v>
      </c>
      <c r="C21" s="19">
        <f t="shared" si="10"/>
        <v>1</v>
      </c>
      <c r="D21" s="19">
        <f t="shared" si="11"/>
        <v>1</v>
      </c>
      <c r="E21" s="19">
        <f t="shared" si="12"/>
        <v>1</v>
      </c>
      <c r="F21" s="18">
        <f t="shared" si="13"/>
        <v>1</v>
      </c>
      <c r="G21" s="18">
        <f t="shared" si="14"/>
        <v>1</v>
      </c>
      <c r="H21" s="18">
        <f t="shared" si="15"/>
        <v>1</v>
      </c>
      <c r="I21" s="18">
        <f t="shared" si="16"/>
        <v>1</v>
      </c>
      <c r="J21" s="18">
        <f t="shared" si="17"/>
        <v>1</v>
      </c>
      <c r="K21" s="18">
        <f t="shared" si="18"/>
        <v>1</v>
      </c>
      <c r="L21" s="18">
        <f t="shared" si="19"/>
        <v>1</v>
      </c>
      <c r="N21" s="18">
        <v>1</v>
      </c>
    </row>
    <row r="22" spans="1:14" x14ac:dyDescent="0.25">
      <c r="A22" s="2" t="s">
        <v>84</v>
      </c>
      <c r="B22" s="2" t="s">
        <v>23</v>
      </c>
      <c r="C22" s="19">
        <f t="shared" si="10"/>
        <v>1</v>
      </c>
      <c r="D22" s="19">
        <f t="shared" si="11"/>
        <v>1</v>
      </c>
      <c r="E22" s="19">
        <f t="shared" si="12"/>
        <v>1</v>
      </c>
      <c r="F22" s="18">
        <f t="shared" si="13"/>
        <v>1</v>
      </c>
      <c r="G22" s="18">
        <f t="shared" si="14"/>
        <v>1</v>
      </c>
      <c r="H22" s="18">
        <f t="shared" si="15"/>
        <v>1</v>
      </c>
      <c r="I22" s="18">
        <f t="shared" si="16"/>
        <v>1</v>
      </c>
      <c r="J22" s="18">
        <f t="shared" si="17"/>
        <v>1</v>
      </c>
      <c r="K22" s="18">
        <f t="shared" si="18"/>
        <v>1</v>
      </c>
      <c r="L22" s="18">
        <f t="shared" si="19"/>
        <v>1</v>
      </c>
      <c r="N22" s="18">
        <v>1</v>
      </c>
    </row>
    <row r="23" spans="1:14" ht="18.75" x14ac:dyDescent="0.3">
      <c r="A23" s="3" t="s">
        <v>19</v>
      </c>
      <c r="B23" s="1"/>
      <c r="C23" s="1"/>
      <c r="J23" s="11"/>
      <c r="K23" s="11"/>
      <c r="L23" s="11"/>
      <c r="N23" t="s">
        <v>142</v>
      </c>
    </row>
    <row r="24" spans="1:14" x14ac:dyDescent="0.25">
      <c r="A24" s="2" t="s">
        <v>11</v>
      </c>
      <c r="B24" s="2" t="s">
        <v>23</v>
      </c>
      <c r="C24" s="19">
        <f>N24</f>
        <v>3</v>
      </c>
      <c r="D24" s="19">
        <f>N24</f>
        <v>3</v>
      </c>
      <c r="E24" s="18">
        <f>N24</f>
        <v>3</v>
      </c>
      <c r="F24" s="18">
        <f>N24</f>
        <v>3</v>
      </c>
      <c r="G24" s="18">
        <f>N24</f>
        <v>3</v>
      </c>
      <c r="H24" s="18">
        <f>N24</f>
        <v>3</v>
      </c>
      <c r="I24" s="18">
        <f>N24</f>
        <v>3</v>
      </c>
      <c r="J24" s="18">
        <f>N24</f>
        <v>3</v>
      </c>
      <c r="K24" s="18">
        <f>N24</f>
        <v>3</v>
      </c>
      <c r="L24" s="18">
        <f>N24</f>
        <v>3</v>
      </c>
      <c r="N24" s="18">
        <v>3</v>
      </c>
    </row>
    <row r="25" spans="1:14" x14ac:dyDescent="0.25">
      <c r="A25" s="2" t="s">
        <v>20</v>
      </c>
      <c r="B25" s="2" t="s">
        <v>6</v>
      </c>
      <c r="C25" s="19">
        <f>N25</f>
        <v>2</v>
      </c>
      <c r="D25" s="19">
        <f>N25</f>
        <v>2</v>
      </c>
      <c r="E25" s="19">
        <f>N25</f>
        <v>2</v>
      </c>
      <c r="F25" s="18">
        <f>N25</f>
        <v>2</v>
      </c>
      <c r="G25" s="18">
        <f>N25</f>
        <v>2</v>
      </c>
      <c r="H25" s="18">
        <f>N25</f>
        <v>2</v>
      </c>
      <c r="I25" s="18">
        <f>N25</f>
        <v>2</v>
      </c>
      <c r="J25" s="18">
        <f>N25</f>
        <v>2</v>
      </c>
      <c r="K25" s="18">
        <f>N25</f>
        <v>2</v>
      </c>
      <c r="L25" s="18">
        <f>N25</f>
        <v>2</v>
      </c>
      <c r="N25" s="18">
        <v>2</v>
      </c>
    </row>
    <row r="26" spans="1:14" ht="18.75" x14ac:dyDescent="0.3">
      <c r="A26" s="3" t="s">
        <v>25</v>
      </c>
      <c r="J26" s="11"/>
      <c r="K26" s="11"/>
      <c r="L26" s="11"/>
    </row>
    <row r="27" spans="1:14" x14ac:dyDescent="0.25">
      <c r="A27" s="2" t="s">
        <v>26</v>
      </c>
      <c r="B27" s="2" t="s">
        <v>14</v>
      </c>
      <c r="C27" s="18">
        <f t="shared" ref="C27:C34" si="20">N27</f>
        <v>4</v>
      </c>
      <c r="D27" s="18">
        <f t="shared" ref="D27:D34" si="21">N27</f>
        <v>4</v>
      </c>
      <c r="E27" s="18">
        <f t="shared" ref="E27:E34" si="22">N27</f>
        <v>4</v>
      </c>
      <c r="F27" s="18">
        <f t="shared" ref="F27:F34" si="23">N27</f>
        <v>4</v>
      </c>
      <c r="G27" s="18">
        <f t="shared" ref="G27:G34" si="24">N27</f>
        <v>4</v>
      </c>
      <c r="H27" s="18">
        <f t="shared" ref="H27:H34" si="25">N27</f>
        <v>4</v>
      </c>
      <c r="I27" s="18">
        <f t="shared" ref="I27:I34" si="26">N27</f>
        <v>4</v>
      </c>
      <c r="J27" s="18">
        <f t="shared" ref="J27:J34" si="27">N27</f>
        <v>4</v>
      </c>
      <c r="K27" s="18">
        <f t="shared" ref="K27:K34" si="28">N27</f>
        <v>4</v>
      </c>
      <c r="L27" s="18">
        <f t="shared" ref="L27:L34" si="29">N27</f>
        <v>4</v>
      </c>
      <c r="N27" s="18">
        <v>4</v>
      </c>
    </row>
    <row r="28" spans="1:14" x14ac:dyDescent="0.25">
      <c r="A28" s="2" t="s">
        <v>27</v>
      </c>
      <c r="B28" s="2" t="s">
        <v>13</v>
      </c>
      <c r="C28" s="18">
        <f t="shared" si="20"/>
        <v>4</v>
      </c>
      <c r="D28" s="18">
        <f t="shared" si="21"/>
        <v>4</v>
      </c>
      <c r="E28" s="18">
        <f t="shared" si="22"/>
        <v>4</v>
      </c>
      <c r="F28" s="18">
        <f t="shared" si="23"/>
        <v>4</v>
      </c>
      <c r="G28" s="18">
        <f t="shared" si="24"/>
        <v>4</v>
      </c>
      <c r="H28" s="18">
        <f t="shared" si="25"/>
        <v>4</v>
      </c>
      <c r="I28" s="18">
        <f t="shared" si="26"/>
        <v>4</v>
      </c>
      <c r="J28" s="18">
        <f t="shared" si="27"/>
        <v>4</v>
      </c>
      <c r="K28" s="18">
        <f t="shared" si="28"/>
        <v>4</v>
      </c>
      <c r="L28" s="18">
        <f t="shared" si="29"/>
        <v>4</v>
      </c>
      <c r="N28" s="18">
        <v>4</v>
      </c>
    </row>
    <row r="29" spans="1:14" x14ac:dyDescent="0.25">
      <c r="A29" s="2" t="s">
        <v>28</v>
      </c>
      <c r="B29" s="2" t="s">
        <v>12</v>
      </c>
      <c r="C29" s="18">
        <f t="shared" si="20"/>
        <v>5</v>
      </c>
      <c r="D29" s="18">
        <f t="shared" si="21"/>
        <v>5</v>
      </c>
      <c r="E29" s="18">
        <f t="shared" si="22"/>
        <v>5</v>
      </c>
      <c r="F29" s="18">
        <f t="shared" si="23"/>
        <v>5</v>
      </c>
      <c r="G29" s="18">
        <f t="shared" si="24"/>
        <v>5</v>
      </c>
      <c r="H29" s="18">
        <f t="shared" si="25"/>
        <v>5</v>
      </c>
      <c r="I29" s="18">
        <f t="shared" si="26"/>
        <v>5</v>
      </c>
      <c r="J29" s="18">
        <f t="shared" si="27"/>
        <v>5</v>
      </c>
      <c r="K29" s="18">
        <f t="shared" si="28"/>
        <v>5</v>
      </c>
      <c r="L29" s="18">
        <f t="shared" si="29"/>
        <v>5</v>
      </c>
      <c r="N29" s="18">
        <v>5</v>
      </c>
    </row>
    <row r="30" spans="1:14" x14ac:dyDescent="0.25">
      <c r="A30" s="2" t="s">
        <v>29</v>
      </c>
      <c r="B30" s="2" t="s">
        <v>12</v>
      </c>
      <c r="C30" s="19">
        <f t="shared" si="20"/>
        <v>3</v>
      </c>
      <c r="D30" s="19">
        <f t="shared" si="21"/>
        <v>3</v>
      </c>
      <c r="E30" s="19">
        <f t="shared" si="22"/>
        <v>3</v>
      </c>
      <c r="F30" s="18">
        <f t="shared" si="23"/>
        <v>3</v>
      </c>
      <c r="G30" s="18">
        <f t="shared" si="24"/>
        <v>3</v>
      </c>
      <c r="H30" s="18">
        <f t="shared" si="25"/>
        <v>3</v>
      </c>
      <c r="I30" s="18">
        <f t="shared" si="26"/>
        <v>3</v>
      </c>
      <c r="J30" s="18">
        <f t="shared" si="27"/>
        <v>3</v>
      </c>
      <c r="K30" s="18">
        <f t="shared" si="28"/>
        <v>3</v>
      </c>
      <c r="L30" s="18">
        <f t="shared" si="29"/>
        <v>3</v>
      </c>
      <c r="N30" s="18">
        <v>3</v>
      </c>
    </row>
    <row r="31" spans="1:14" x14ac:dyDescent="0.25">
      <c r="A31" s="2" t="s">
        <v>30</v>
      </c>
      <c r="B31" s="2" t="s">
        <v>12</v>
      </c>
      <c r="C31" s="19">
        <f t="shared" si="20"/>
        <v>0</v>
      </c>
      <c r="D31" s="19">
        <f t="shared" si="21"/>
        <v>0</v>
      </c>
      <c r="E31" s="19">
        <f t="shared" si="22"/>
        <v>0</v>
      </c>
      <c r="F31" s="18">
        <f t="shared" si="23"/>
        <v>0</v>
      </c>
      <c r="G31" s="18">
        <f t="shared" si="24"/>
        <v>0</v>
      </c>
      <c r="H31" s="18">
        <f t="shared" si="25"/>
        <v>0</v>
      </c>
      <c r="I31" s="18">
        <f t="shared" si="26"/>
        <v>0</v>
      </c>
      <c r="J31" s="18">
        <f t="shared" si="27"/>
        <v>0</v>
      </c>
      <c r="K31" s="18">
        <f t="shared" si="28"/>
        <v>0</v>
      </c>
      <c r="L31" s="18">
        <f t="shared" si="29"/>
        <v>0</v>
      </c>
      <c r="N31" s="18">
        <v>0</v>
      </c>
    </row>
    <row r="32" spans="1:14" x14ac:dyDescent="0.25">
      <c r="A32" s="2" t="s">
        <v>31</v>
      </c>
      <c r="B32" s="2" t="s">
        <v>11</v>
      </c>
      <c r="C32" s="19">
        <f t="shared" si="20"/>
        <v>0</v>
      </c>
      <c r="D32" s="19">
        <f t="shared" si="21"/>
        <v>0</v>
      </c>
      <c r="E32" s="19">
        <f t="shared" si="22"/>
        <v>0</v>
      </c>
      <c r="F32" s="18">
        <f t="shared" si="23"/>
        <v>0</v>
      </c>
      <c r="G32" s="18">
        <f t="shared" si="24"/>
        <v>0</v>
      </c>
      <c r="H32" s="18">
        <f t="shared" si="25"/>
        <v>0</v>
      </c>
      <c r="I32" s="18">
        <f t="shared" si="26"/>
        <v>0</v>
      </c>
      <c r="J32" s="18">
        <f t="shared" si="27"/>
        <v>0</v>
      </c>
      <c r="K32" s="18">
        <f t="shared" si="28"/>
        <v>0</v>
      </c>
      <c r="L32" s="18">
        <f t="shared" si="29"/>
        <v>0</v>
      </c>
      <c r="N32" s="18">
        <v>0</v>
      </c>
    </row>
    <row r="33" spans="1:14" x14ac:dyDescent="0.25">
      <c r="A33" s="2" t="s">
        <v>32</v>
      </c>
      <c r="B33" s="2" t="s">
        <v>11</v>
      </c>
      <c r="C33" s="19">
        <f t="shared" si="20"/>
        <v>0</v>
      </c>
      <c r="D33" s="19">
        <f t="shared" si="21"/>
        <v>0</v>
      </c>
      <c r="E33" s="19">
        <f t="shared" si="22"/>
        <v>0</v>
      </c>
      <c r="F33" s="18">
        <f t="shared" si="23"/>
        <v>0</v>
      </c>
      <c r="G33" s="18">
        <f t="shared" si="24"/>
        <v>0</v>
      </c>
      <c r="H33" s="18">
        <f t="shared" si="25"/>
        <v>0</v>
      </c>
      <c r="I33" s="18">
        <f t="shared" si="26"/>
        <v>0</v>
      </c>
      <c r="J33" s="18">
        <f t="shared" si="27"/>
        <v>0</v>
      </c>
      <c r="K33" s="18">
        <f t="shared" si="28"/>
        <v>0</v>
      </c>
      <c r="L33" s="18">
        <f t="shared" si="29"/>
        <v>0</v>
      </c>
      <c r="N33" s="18">
        <v>0</v>
      </c>
    </row>
    <row r="34" spans="1:14" x14ac:dyDescent="0.25">
      <c r="A34" s="2" t="s">
        <v>33</v>
      </c>
      <c r="B34" s="2" t="s">
        <v>12</v>
      </c>
      <c r="C34" s="19">
        <f t="shared" si="20"/>
        <v>2</v>
      </c>
      <c r="D34" s="19">
        <f t="shared" si="21"/>
        <v>2</v>
      </c>
      <c r="E34" s="19">
        <f t="shared" si="22"/>
        <v>2</v>
      </c>
      <c r="F34" s="18">
        <f t="shared" si="23"/>
        <v>2</v>
      </c>
      <c r="G34" s="18">
        <f t="shared" si="24"/>
        <v>2</v>
      </c>
      <c r="H34" s="18">
        <f t="shared" si="25"/>
        <v>2</v>
      </c>
      <c r="I34" s="18">
        <f t="shared" si="26"/>
        <v>2</v>
      </c>
      <c r="J34" s="18">
        <f t="shared" si="27"/>
        <v>2</v>
      </c>
      <c r="K34" s="18">
        <f t="shared" si="28"/>
        <v>2</v>
      </c>
      <c r="L34" s="18">
        <f t="shared" si="29"/>
        <v>2</v>
      </c>
      <c r="N34" s="18">
        <v>2</v>
      </c>
    </row>
    <row r="35" spans="1:14" ht="18.75" x14ac:dyDescent="0.3">
      <c r="A35" s="3" t="s">
        <v>34</v>
      </c>
      <c r="J35" s="10"/>
      <c r="K35" s="11"/>
      <c r="L35" s="11"/>
    </row>
    <row r="36" spans="1:14" x14ac:dyDescent="0.25">
      <c r="A36" s="2" t="s">
        <v>35</v>
      </c>
      <c r="B36" s="2" t="s">
        <v>36</v>
      </c>
      <c r="C36" s="18">
        <f t="shared" ref="C36:C44" si="30">N36</f>
        <v>0</v>
      </c>
      <c r="D36" s="18">
        <f t="shared" ref="D36:D44" si="31">N36</f>
        <v>0</v>
      </c>
      <c r="E36" s="18">
        <f t="shared" ref="E36:E44" si="32">N36</f>
        <v>0</v>
      </c>
      <c r="F36" s="18">
        <f t="shared" ref="F36:F44" si="33">N36</f>
        <v>0</v>
      </c>
      <c r="G36" s="18">
        <f t="shared" ref="G36:G44" si="34">N36</f>
        <v>0</v>
      </c>
      <c r="H36" s="18">
        <f t="shared" ref="H36:H44" si="35">N36</f>
        <v>0</v>
      </c>
      <c r="I36" s="18">
        <f t="shared" ref="I36:I44" si="36">N36</f>
        <v>0</v>
      </c>
      <c r="J36" s="18">
        <f t="shared" ref="J36:J44" si="37">N36</f>
        <v>0</v>
      </c>
      <c r="K36" s="18">
        <f t="shared" ref="K36:K44" si="38">N36</f>
        <v>0</v>
      </c>
      <c r="L36" s="18">
        <f t="shared" ref="L36:L44" si="39">N36</f>
        <v>0</v>
      </c>
      <c r="N36" s="18">
        <v>0</v>
      </c>
    </row>
    <row r="37" spans="1:14" x14ac:dyDescent="0.25">
      <c r="A37" s="2" t="s">
        <v>37</v>
      </c>
      <c r="B37" s="2" t="s">
        <v>39</v>
      </c>
      <c r="C37" s="25">
        <f t="shared" si="30"/>
        <v>0</v>
      </c>
      <c r="D37" s="25">
        <f t="shared" si="31"/>
        <v>0</v>
      </c>
      <c r="E37" s="25">
        <f t="shared" si="32"/>
        <v>0</v>
      </c>
      <c r="F37" s="25">
        <f t="shared" si="33"/>
        <v>0</v>
      </c>
      <c r="G37" s="25">
        <f t="shared" si="34"/>
        <v>0</v>
      </c>
      <c r="H37" s="25">
        <f t="shared" si="35"/>
        <v>0</v>
      </c>
      <c r="I37" s="25">
        <f t="shared" si="36"/>
        <v>0</v>
      </c>
      <c r="J37" s="25">
        <f t="shared" si="37"/>
        <v>0</v>
      </c>
      <c r="K37" s="25">
        <f t="shared" si="38"/>
        <v>0</v>
      </c>
      <c r="L37" s="22">
        <f t="shared" si="39"/>
        <v>0</v>
      </c>
      <c r="N37" s="22">
        <v>0</v>
      </c>
    </row>
    <row r="38" spans="1:14" x14ac:dyDescent="0.25">
      <c r="A38" s="2" t="s">
        <v>38</v>
      </c>
      <c r="B38" s="2" t="s">
        <v>39</v>
      </c>
      <c r="C38" s="25">
        <f t="shared" si="30"/>
        <v>0</v>
      </c>
      <c r="D38" s="25">
        <f t="shared" si="31"/>
        <v>0</v>
      </c>
      <c r="E38" s="25">
        <f t="shared" si="32"/>
        <v>0</v>
      </c>
      <c r="F38" s="25">
        <f t="shared" si="33"/>
        <v>0</v>
      </c>
      <c r="G38" s="25">
        <f t="shared" si="34"/>
        <v>0</v>
      </c>
      <c r="H38" s="25">
        <f t="shared" si="35"/>
        <v>0</v>
      </c>
      <c r="I38" s="25">
        <f t="shared" si="36"/>
        <v>0</v>
      </c>
      <c r="J38" s="25">
        <f t="shared" si="37"/>
        <v>0</v>
      </c>
      <c r="K38" s="25">
        <f t="shared" si="38"/>
        <v>0</v>
      </c>
      <c r="L38" s="22">
        <f t="shared" si="39"/>
        <v>0</v>
      </c>
      <c r="N38" s="22">
        <v>0</v>
      </c>
    </row>
    <row r="39" spans="1:14" x14ac:dyDescent="0.25">
      <c r="A39" s="2" t="s">
        <v>40</v>
      </c>
      <c r="B39" s="2" t="s">
        <v>39</v>
      </c>
      <c r="C39" s="18">
        <f t="shared" si="30"/>
        <v>0</v>
      </c>
      <c r="D39" s="18">
        <f t="shared" si="31"/>
        <v>0</v>
      </c>
      <c r="E39" s="18">
        <f t="shared" si="32"/>
        <v>0</v>
      </c>
      <c r="F39" s="18">
        <f t="shared" si="33"/>
        <v>0</v>
      </c>
      <c r="G39" s="18">
        <f t="shared" si="34"/>
        <v>0</v>
      </c>
      <c r="H39" s="18">
        <f t="shared" si="35"/>
        <v>0</v>
      </c>
      <c r="I39" s="18">
        <f t="shared" si="36"/>
        <v>0</v>
      </c>
      <c r="J39" s="18">
        <f t="shared" si="37"/>
        <v>0</v>
      </c>
      <c r="K39" s="18">
        <f t="shared" si="38"/>
        <v>0</v>
      </c>
      <c r="L39" s="18">
        <f t="shared" si="39"/>
        <v>0</v>
      </c>
      <c r="N39" s="18">
        <v>0</v>
      </c>
    </row>
    <row r="40" spans="1:14" x14ac:dyDescent="0.25">
      <c r="A40" s="2" t="s">
        <v>41</v>
      </c>
      <c r="B40" s="2" t="s">
        <v>39</v>
      </c>
      <c r="C40" s="26">
        <f t="shared" si="30"/>
        <v>0</v>
      </c>
      <c r="D40" s="26">
        <f t="shared" si="31"/>
        <v>0</v>
      </c>
      <c r="E40" s="26">
        <f t="shared" si="32"/>
        <v>0</v>
      </c>
      <c r="F40" s="26">
        <f t="shared" si="33"/>
        <v>0</v>
      </c>
      <c r="G40" s="26">
        <f t="shared" si="34"/>
        <v>0</v>
      </c>
      <c r="H40" s="26">
        <f t="shared" si="35"/>
        <v>0</v>
      </c>
      <c r="I40" s="26">
        <f t="shared" si="36"/>
        <v>0</v>
      </c>
      <c r="J40" s="26">
        <f t="shared" si="37"/>
        <v>0</v>
      </c>
      <c r="K40" s="26">
        <f t="shared" si="38"/>
        <v>0</v>
      </c>
      <c r="L40" s="26">
        <f t="shared" si="39"/>
        <v>0</v>
      </c>
      <c r="N40" s="26">
        <v>0</v>
      </c>
    </row>
    <row r="41" spans="1:14" x14ac:dyDescent="0.25">
      <c r="A41" s="2" t="s">
        <v>42</v>
      </c>
      <c r="B41" s="2" t="s">
        <v>39</v>
      </c>
      <c r="C41" s="25">
        <f t="shared" si="30"/>
        <v>0</v>
      </c>
      <c r="D41" s="25">
        <f t="shared" si="31"/>
        <v>0</v>
      </c>
      <c r="E41" s="25">
        <f t="shared" si="32"/>
        <v>0</v>
      </c>
      <c r="F41" s="25">
        <f t="shared" si="33"/>
        <v>0</v>
      </c>
      <c r="G41" s="25">
        <f t="shared" si="34"/>
        <v>0</v>
      </c>
      <c r="H41" s="25">
        <f t="shared" si="35"/>
        <v>0</v>
      </c>
      <c r="I41" s="25">
        <f t="shared" si="36"/>
        <v>0</v>
      </c>
      <c r="J41" s="25">
        <f t="shared" si="37"/>
        <v>0</v>
      </c>
      <c r="K41" s="25">
        <f t="shared" si="38"/>
        <v>0</v>
      </c>
      <c r="L41" s="22">
        <f t="shared" si="39"/>
        <v>0</v>
      </c>
      <c r="N41" s="22">
        <v>0</v>
      </c>
    </row>
    <row r="42" spans="1:14" x14ac:dyDescent="0.25">
      <c r="A42" s="2" t="s">
        <v>43</v>
      </c>
      <c r="B42" s="2" t="s">
        <v>45</v>
      </c>
      <c r="C42" s="27">
        <f t="shared" si="30"/>
        <v>0.64900000000000002</v>
      </c>
      <c r="D42" s="25">
        <f t="shared" si="31"/>
        <v>0.64900000000000002</v>
      </c>
      <c r="E42" s="25">
        <f t="shared" si="32"/>
        <v>0.64900000000000002</v>
      </c>
      <c r="F42" s="25">
        <f t="shared" si="33"/>
        <v>0.64900000000000002</v>
      </c>
      <c r="G42" s="25">
        <f t="shared" si="34"/>
        <v>0.64900000000000002</v>
      </c>
      <c r="H42" s="25">
        <f t="shared" si="35"/>
        <v>0.64900000000000002</v>
      </c>
      <c r="I42" s="25">
        <f t="shared" si="36"/>
        <v>0.64900000000000002</v>
      </c>
      <c r="J42" s="25">
        <f t="shared" si="37"/>
        <v>0.64900000000000002</v>
      </c>
      <c r="K42" s="25">
        <f t="shared" si="38"/>
        <v>0.64900000000000002</v>
      </c>
      <c r="L42" s="22">
        <f t="shared" si="39"/>
        <v>0.64900000000000002</v>
      </c>
      <c r="N42" s="22">
        <v>0.64900000000000002</v>
      </c>
    </row>
    <row r="43" spans="1:14" x14ac:dyDescent="0.25">
      <c r="A43" s="2" t="s">
        <v>46</v>
      </c>
      <c r="B43" s="2" t="s">
        <v>47</v>
      </c>
      <c r="C43" s="28">
        <f t="shared" si="30"/>
        <v>48</v>
      </c>
      <c r="D43" s="18">
        <f t="shared" si="31"/>
        <v>48</v>
      </c>
      <c r="E43" s="18">
        <f t="shared" si="32"/>
        <v>48</v>
      </c>
      <c r="F43" s="18">
        <f t="shared" si="33"/>
        <v>48</v>
      </c>
      <c r="G43" s="18">
        <f t="shared" si="34"/>
        <v>48</v>
      </c>
      <c r="H43" s="18">
        <f t="shared" si="35"/>
        <v>48</v>
      </c>
      <c r="I43" s="18">
        <f t="shared" si="36"/>
        <v>48</v>
      </c>
      <c r="J43" s="18">
        <f t="shared" si="37"/>
        <v>48</v>
      </c>
      <c r="K43" s="18">
        <f t="shared" si="38"/>
        <v>48</v>
      </c>
      <c r="L43" s="18">
        <f t="shared" si="39"/>
        <v>48</v>
      </c>
      <c r="N43" s="18">
        <v>48</v>
      </c>
    </row>
    <row r="44" spans="1:14" x14ac:dyDescent="0.25">
      <c r="A44" s="2" t="s">
        <v>48</v>
      </c>
      <c r="B44" s="2" t="s">
        <v>47</v>
      </c>
      <c r="C44" s="28">
        <f t="shared" si="30"/>
        <v>60</v>
      </c>
      <c r="D44" s="18">
        <f t="shared" si="31"/>
        <v>60</v>
      </c>
      <c r="E44" s="18">
        <f t="shared" si="32"/>
        <v>60</v>
      </c>
      <c r="F44" s="18">
        <f t="shared" si="33"/>
        <v>60</v>
      </c>
      <c r="G44" s="18">
        <f t="shared" si="34"/>
        <v>60</v>
      </c>
      <c r="H44" s="18">
        <f t="shared" si="35"/>
        <v>60</v>
      </c>
      <c r="I44" s="18">
        <f t="shared" si="36"/>
        <v>60</v>
      </c>
      <c r="J44" s="18">
        <f t="shared" si="37"/>
        <v>60</v>
      </c>
      <c r="K44" s="18">
        <f t="shared" si="38"/>
        <v>60</v>
      </c>
      <c r="L44" s="18">
        <f t="shared" si="39"/>
        <v>60</v>
      </c>
      <c r="N44" s="18">
        <v>60</v>
      </c>
    </row>
    <row r="45" spans="1:14" ht="18.75" x14ac:dyDescent="0.3">
      <c r="A45" s="3" t="s">
        <v>49</v>
      </c>
      <c r="J45" s="10"/>
      <c r="K45" s="10"/>
      <c r="L45" s="10"/>
    </row>
    <row r="46" spans="1:14" x14ac:dyDescent="0.25">
      <c r="A46" s="2" t="s">
        <v>50</v>
      </c>
      <c r="B46" s="2"/>
      <c r="C46" s="19">
        <f>N46</f>
        <v>18</v>
      </c>
      <c r="D46" s="19">
        <f>N46</f>
        <v>18</v>
      </c>
      <c r="E46" s="19">
        <f>N46</f>
        <v>18</v>
      </c>
      <c r="F46" s="19">
        <f>N46</f>
        <v>18</v>
      </c>
      <c r="G46" s="19">
        <f>N46</f>
        <v>18</v>
      </c>
      <c r="H46" s="19">
        <f>N46</f>
        <v>18</v>
      </c>
      <c r="I46" s="19">
        <f>N46</f>
        <v>18</v>
      </c>
      <c r="J46" s="19">
        <f>N46</f>
        <v>18</v>
      </c>
      <c r="K46" s="19">
        <f>N46</f>
        <v>18</v>
      </c>
      <c r="L46" s="19">
        <f>N46</f>
        <v>18</v>
      </c>
      <c r="N46" s="19">
        <v>18</v>
      </c>
    </row>
    <row r="47" spans="1:14" x14ac:dyDescent="0.25">
      <c r="A47" s="2" t="s">
        <v>52</v>
      </c>
      <c r="B47" s="2"/>
      <c r="C47" s="19">
        <f>N47</f>
        <v>20</v>
      </c>
      <c r="D47" s="19">
        <f>N47</f>
        <v>20</v>
      </c>
      <c r="E47" s="19">
        <f>N47</f>
        <v>20</v>
      </c>
      <c r="F47" s="19">
        <f>N47</f>
        <v>20</v>
      </c>
      <c r="G47" s="19">
        <f>N47</f>
        <v>20</v>
      </c>
      <c r="H47" s="19">
        <f>N47</f>
        <v>20</v>
      </c>
      <c r="I47" s="19">
        <f>N47</f>
        <v>20</v>
      </c>
      <c r="J47" s="19">
        <f>N47</f>
        <v>20</v>
      </c>
      <c r="K47" s="19">
        <f>N47</f>
        <v>20</v>
      </c>
      <c r="L47" s="19">
        <f>N47</f>
        <v>20</v>
      </c>
      <c r="N47" s="19">
        <v>20</v>
      </c>
    </row>
    <row r="48" spans="1:14" x14ac:dyDescent="0.25">
      <c r="A48" s="2" t="s">
        <v>53</v>
      </c>
      <c r="B48" s="2"/>
      <c r="C48" s="19">
        <f>N48</f>
        <v>9</v>
      </c>
      <c r="D48" s="19">
        <f>N48</f>
        <v>9</v>
      </c>
      <c r="E48" s="19">
        <f>N48</f>
        <v>9</v>
      </c>
      <c r="F48" s="19">
        <f>N48</f>
        <v>9</v>
      </c>
      <c r="G48" s="19">
        <f>N48</f>
        <v>9</v>
      </c>
      <c r="H48" s="19">
        <f>N48</f>
        <v>9</v>
      </c>
      <c r="I48" s="19">
        <f>N48</f>
        <v>9</v>
      </c>
      <c r="J48" s="19">
        <f>N48</f>
        <v>9</v>
      </c>
      <c r="K48" s="19">
        <f>N48</f>
        <v>9</v>
      </c>
      <c r="L48" s="19">
        <f>N48</f>
        <v>9</v>
      </c>
      <c r="N48" s="19">
        <v>9</v>
      </c>
    </row>
    <row r="49" spans="1:25 16384:16384" x14ac:dyDescent="0.25">
      <c r="A49" s="2" t="s">
        <v>54</v>
      </c>
      <c r="C49" s="19">
        <f>N49</f>
        <v>33</v>
      </c>
      <c r="D49" s="19">
        <f>N49</f>
        <v>33</v>
      </c>
      <c r="E49" s="19">
        <f>N49</f>
        <v>33</v>
      </c>
      <c r="F49" s="19">
        <f>N49</f>
        <v>33</v>
      </c>
      <c r="G49" s="19">
        <f>N49</f>
        <v>33</v>
      </c>
      <c r="H49" s="19">
        <f>N49</f>
        <v>33</v>
      </c>
      <c r="I49" s="19">
        <f>N49</f>
        <v>33</v>
      </c>
      <c r="J49" s="19">
        <f>N49</f>
        <v>33</v>
      </c>
      <c r="K49" s="19">
        <f>N49</f>
        <v>33</v>
      </c>
      <c r="L49" s="19">
        <f>N49</f>
        <v>33</v>
      </c>
      <c r="N49" s="19">
        <v>33</v>
      </c>
    </row>
    <row r="50" spans="1:25 16384:16384" x14ac:dyDescent="0.25">
      <c r="A50" s="13" t="s">
        <v>55</v>
      </c>
      <c r="C50" s="31">
        <f t="shared" ref="C50:L50" si="40">$N$50</f>
        <v>13.03</v>
      </c>
      <c r="D50" s="31">
        <f t="shared" si="40"/>
        <v>13.03</v>
      </c>
      <c r="E50" s="31">
        <f t="shared" si="40"/>
        <v>13.03</v>
      </c>
      <c r="F50" s="31">
        <f t="shared" si="40"/>
        <v>13.03</v>
      </c>
      <c r="G50" s="31">
        <f t="shared" si="40"/>
        <v>13.03</v>
      </c>
      <c r="H50" s="31">
        <f t="shared" si="40"/>
        <v>13.03</v>
      </c>
      <c r="I50" s="31">
        <f t="shared" si="40"/>
        <v>13.03</v>
      </c>
      <c r="J50" s="31">
        <f t="shared" si="40"/>
        <v>13.03</v>
      </c>
      <c r="K50" s="31">
        <f t="shared" si="40"/>
        <v>13.03</v>
      </c>
      <c r="L50" s="31">
        <f t="shared" si="40"/>
        <v>13.03</v>
      </c>
      <c r="N50" s="31">
        <v>13.03</v>
      </c>
      <c r="O50" s="19" t="s">
        <v>144</v>
      </c>
    </row>
    <row r="51" spans="1:25 16384:16384" x14ac:dyDescent="0.25">
      <c r="A51" s="13" t="s">
        <v>56</v>
      </c>
      <c r="C51" s="31">
        <f t="shared" ref="C51:L51" si="41">$N$51</f>
        <v>11.01</v>
      </c>
      <c r="D51" s="31">
        <f t="shared" si="41"/>
        <v>11.01</v>
      </c>
      <c r="E51" s="31">
        <f t="shared" si="41"/>
        <v>11.01</v>
      </c>
      <c r="F51" s="31">
        <f t="shared" si="41"/>
        <v>11.01</v>
      </c>
      <c r="G51" s="31">
        <f t="shared" si="41"/>
        <v>11.01</v>
      </c>
      <c r="H51" s="31">
        <f t="shared" si="41"/>
        <v>11.01</v>
      </c>
      <c r="I51" s="31">
        <f t="shared" si="41"/>
        <v>11.01</v>
      </c>
      <c r="J51" s="31">
        <f t="shared" si="41"/>
        <v>11.01</v>
      </c>
      <c r="K51" s="31">
        <f t="shared" si="41"/>
        <v>11.01</v>
      </c>
      <c r="L51" s="31">
        <f t="shared" si="41"/>
        <v>11.01</v>
      </c>
      <c r="N51" s="31">
        <v>11.01</v>
      </c>
    </row>
    <row r="52" spans="1:25 16384:16384" x14ac:dyDescent="0.25">
      <c r="A52" s="13" t="s">
        <v>63</v>
      </c>
      <c r="C52" s="19">
        <f>N52</f>
        <v>155</v>
      </c>
      <c r="D52" s="19">
        <f>N52</f>
        <v>155</v>
      </c>
      <c r="E52" s="19">
        <f>N52</f>
        <v>155</v>
      </c>
      <c r="F52" s="19">
        <f>N52</f>
        <v>155</v>
      </c>
      <c r="G52" s="19">
        <f>N52</f>
        <v>155</v>
      </c>
      <c r="H52" s="19">
        <f>N52</f>
        <v>155</v>
      </c>
      <c r="I52" s="19">
        <f>N52</f>
        <v>155</v>
      </c>
      <c r="J52" s="19">
        <f>N52</f>
        <v>155</v>
      </c>
      <c r="K52" s="19">
        <f>N52</f>
        <v>155</v>
      </c>
      <c r="L52" s="19">
        <f>N52</f>
        <v>155</v>
      </c>
      <c r="N52" s="19">
        <v>155</v>
      </c>
    </row>
    <row r="53" spans="1:25 16384:16384" x14ac:dyDescent="0.25">
      <c r="A53" s="13" t="s">
        <v>64</v>
      </c>
      <c r="C53" s="19">
        <f>N53</f>
        <v>240</v>
      </c>
      <c r="D53" s="19">
        <f>N53</f>
        <v>240</v>
      </c>
      <c r="E53" s="19">
        <f>N53</f>
        <v>240</v>
      </c>
      <c r="F53" s="19">
        <f>N53</f>
        <v>240</v>
      </c>
      <c r="G53" s="19">
        <f>N53</f>
        <v>240</v>
      </c>
      <c r="H53" s="19">
        <f>N53</f>
        <v>240</v>
      </c>
      <c r="I53" s="19">
        <f>N53</f>
        <v>240</v>
      </c>
      <c r="J53" s="19">
        <f>N53</f>
        <v>240</v>
      </c>
      <c r="K53" s="19">
        <f>N53</f>
        <v>240</v>
      </c>
      <c r="L53" s="19">
        <f>N53</f>
        <v>240</v>
      </c>
      <c r="N53" s="19">
        <v>240</v>
      </c>
    </row>
    <row r="54" spans="1:25 16384:16384" x14ac:dyDescent="0.25">
      <c r="A54" s="13" t="s">
        <v>65</v>
      </c>
      <c r="C54" s="31">
        <f t="shared" ref="C54:K54" si="42">$N$54</f>
        <v>1.06</v>
      </c>
      <c r="D54" s="31">
        <f t="shared" si="42"/>
        <v>1.06</v>
      </c>
      <c r="E54" s="31">
        <f t="shared" si="42"/>
        <v>1.06</v>
      </c>
      <c r="F54" s="31">
        <f t="shared" si="42"/>
        <v>1.06</v>
      </c>
      <c r="G54" s="31">
        <f t="shared" si="42"/>
        <v>1.06</v>
      </c>
      <c r="H54" s="31">
        <f t="shared" si="42"/>
        <v>1.06</v>
      </c>
      <c r="I54" s="31">
        <f t="shared" si="42"/>
        <v>1.06</v>
      </c>
      <c r="J54" s="31">
        <f t="shared" si="42"/>
        <v>1.06</v>
      </c>
      <c r="K54" s="31">
        <f t="shared" si="42"/>
        <v>1.06</v>
      </c>
      <c r="L54" s="31">
        <f>$N$54</f>
        <v>1.06</v>
      </c>
      <c r="N54" s="31">
        <v>1.06</v>
      </c>
      <c r="P54" s="2"/>
      <c r="Q54" s="2"/>
      <c r="R54" s="2"/>
      <c r="S54" s="2"/>
      <c r="T54" s="2"/>
      <c r="U54" s="2"/>
      <c r="V54" s="2"/>
      <c r="W54" s="2"/>
      <c r="X54" s="2"/>
      <c r="Y54" s="2"/>
      <c r="XFD54" t="s">
        <v>143</v>
      </c>
    </row>
    <row r="55" spans="1:25 16384:16384" x14ac:dyDescent="0.25">
      <c r="A55" s="13" t="s">
        <v>66</v>
      </c>
      <c r="C55" s="31">
        <f>$N$55</f>
        <v>6.04</v>
      </c>
      <c r="D55" s="31">
        <f t="shared" ref="D55:L55" si="43">$N$55</f>
        <v>6.04</v>
      </c>
      <c r="E55" s="31">
        <f t="shared" si="43"/>
        <v>6.04</v>
      </c>
      <c r="F55" s="31">
        <f t="shared" si="43"/>
        <v>6.04</v>
      </c>
      <c r="G55" s="31">
        <f t="shared" si="43"/>
        <v>6.04</v>
      </c>
      <c r="H55" s="31">
        <f t="shared" si="43"/>
        <v>6.04</v>
      </c>
      <c r="I55" s="31">
        <f t="shared" si="43"/>
        <v>6.04</v>
      </c>
      <c r="J55" s="31">
        <f t="shared" si="43"/>
        <v>6.04</v>
      </c>
      <c r="K55" s="31">
        <f t="shared" si="43"/>
        <v>6.04</v>
      </c>
      <c r="L55" s="31">
        <f t="shared" si="43"/>
        <v>6.04</v>
      </c>
      <c r="N55" s="31">
        <v>6.04</v>
      </c>
    </row>
    <row r="56" spans="1:25 16384:16384" x14ac:dyDescent="0.25">
      <c r="A56" s="4" t="s">
        <v>57</v>
      </c>
      <c r="C56" s="19">
        <f>N56</f>
        <v>5.19</v>
      </c>
      <c r="D56" s="19">
        <f>N56</f>
        <v>5.19</v>
      </c>
      <c r="E56" s="19">
        <f>N56</f>
        <v>5.19</v>
      </c>
      <c r="F56" s="19">
        <f>N56</f>
        <v>5.19</v>
      </c>
      <c r="G56" s="19">
        <f>N56</f>
        <v>5.19</v>
      </c>
      <c r="H56" s="19">
        <f>N56</f>
        <v>5.19</v>
      </c>
      <c r="I56" s="19">
        <f>N56</f>
        <v>5.19</v>
      </c>
      <c r="J56" s="19">
        <f>N56</f>
        <v>5.19</v>
      </c>
      <c r="K56" s="19">
        <f>N56</f>
        <v>5.19</v>
      </c>
      <c r="L56" s="19">
        <f>N56</f>
        <v>5.19</v>
      </c>
      <c r="N56" s="28">
        <v>5.19</v>
      </c>
    </row>
    <row r="57" spans="1:25 16384:16384" ht="18.75" x14ac:dyDescent="0.3">
      <c r="A57" s="3" t="s">
        <v>59</v>
      </c>
      <c r="J57" s="10"/>
      <c r="K57" s="10"/>
      <c r="L57" s="10"/>
      <c r="N57" s="19"/>
    </row>
    <row r="58" spans="1:25 16384:16384" x14ac:dyDescent="0.25">
      <c r="A58" s="2" t="s">
        <v>60</v>
      </c>
      <c r="C58" s="25">
        <f>N58</f>
        <v>0.81</v>
      </c>
      <c r="D58" s="25">
        <f>N58</f>
        <v>0.81</v>
      </c>
      <c r="E58" s="25">
        <f>N58</f>
        <v>0.81</v>
      </c>
      <c r="F58" s="25">
        <f>N58</f>
        <v>0.81</v>
      </c>
      <c r="G58" s="25">
        <f>N58</f>
        <v>0.81</v>
      </c>
      <c r="H58" s="25">
        <f>N58</f>
        <v>0.81</v>
      </c>
      <c r="I58" s="25">
        <f>N58</f>
        <v>0.81</v>
      </c>
      <c r="J58" s="25">
        <f>N58</f>
        <v>0.81</v>
      </c>
      <c r="K58" s="25">
        <f>N58</f>
        <v>0.81</v>
      </c>
      <c r="L58" s="22">
        <f>N58</f>
        <v>0.81</v>
      </c>
      <c r="N58" s="24">
        <v>0.81</v>
      </c>
    </row>
    <row r="59" spans="1:25 16384:16384" x14ac:dyDescent="0.25">
      <c r="A59" s="2" t="s">
        <v>61</v>
      </c>
      <c r="C59" s="25">
        <f>N59</f>
        <v>0.81</v>
      </c>
      <c r="D59" s="25">
        <f>N59</f>
        <v>0.81</v>
      </c>
      <c r="E59" s="25">
        <f>N59</f>
        <v>0.81</v>
      </c>
      <c r="F59" s="25">
        <f>N59</f>
        <v>0.81</v>
      </c>
      <c r="G59" s="25">
        <f>N59</f>
        <v>0.81</v>
      </c>
      <c r="H59" s="25">
        <f>N59</f>
        <v>0.81</v>
      </c>
      <c r="I59" s="25">
        <f>N59</f>
        <v>0.81</v>
      </c>
      <c r="J59" s="25">
        <f>N59</f>
        <v>0.81</v>
      </c>
      <c r="K59" s="25">
        <f>N59</f>
        <v>0.81</v>
      </c>
      <c r="L59" s="22">
        <f>N59</f>
        <v>0.81</v>
      </c>
      <c r="N59" s="24">
        <v>0.81</v>
      </c>
    </row>
    <row r="61" spans="1:25 16384:16384" x14ac:dyDescent="0.25">
      <c r="N61" s="19"/>
      <c r="O61" t="s">
        <v>145</v>
      </c>
    </row>
    <row r="62" spans="1:25 16384:16384" x14ac:dyDescent="0.25">
      <c r="O62" t="s">
        <v>146</v>
      </c>
    </row>
    <row r="63" spans="1:25 16384:16384" x14ac:dyDescent="0.25">
      <c r="O63" t="s">
        <v>147</v>
      </c>
    </row>
    <row r="65" spans="1:24" ht="26.25" x14ac:dyDescent="0.4">
      <c r="A65" s="73" t="s">
        <v>148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24" x14ac:dyDescent="0.25">
      <c r="Q66" s="69" t="s">
        <v>155</v>
      </c>
      <c r="R66" s="70"/>
      <c r="T66" s="74" t="s">
        <v>35</v>
      </c>
      <c r="U66" s="75"/>
      <c r="W66" s="74" t="s">
        <v>156</v>
      </c>
      <c r="X66" s="75"/>
    </row>
    <row r="67" spans="1:24" ht="21" x14ac:dyDescent="0.35">
      <c r="D67" s="53" t="s">
        <v>149</v>
      </c>
      <c r="E67" s="53"/>
      <c r="G67" s="32"/>
      <c r="H67" s="54" t="s">
        <v>150</v>
      </c>
      <c r="I67" s="54"/>
      <c r="Q67" s="34">
        <v>4.09</v>
      </c>
      <c r="R67" s="34">
        <v>100</v>
      </c>
      <c r="T67" s="34">
        <v>72</v>
      </c>
      <c r="U67" s="34">
        <v>100</v>
      </c>
      <c r="W67" s="34">
        <v>29</v>
      </c>
      <c r="X67" s="34">
        <v>100</v>
      </c>
    </row>
    <row r="68" spans="1:24" x14ac:dyDescent="0.25">
      <c r="C68" s="6" t="s">
        <v>151</v>
      </c>
      <c r="D68" s="6" t="s">
        <v>21</v>
      </c>
      <c r="E68" s="6" t="s">
        <v>152</v>
      </c>
      <c r="H68" s="6" t="s">
        <v>153</v>
      </c>
      <c r="I68" s="6" t="s">
        <v>154</v>
      </c>
      <c r="Q68" s="34">
        <v>4.1900000000000004</v>
      </c>
      <c r="R68" s="34">
        <v>95</v>
      </c>
      <c r="T68" s="34">
        <v>73</v>
      </c>
      <c r="U68" s="34">
        <v>95</v>
      </c>
      <c r="W68" s="34">
        <v>30</v>
      </c>
      <c r="X68" s="34">
        <v>95</v>
      </c>
    </row>
    <row r="69" spans="1:24" x14ac:dyDescent="0.25">
      <c r="C69" s="33" t="s">
        <v>1</v>
      </c>
      <c r="D69" s="33" t="s">
        <v>22</v>
      </c>
      <c r="E69" s="34">
        <f>N4</f>
        <v>4</v>
      </c>
      <c r="G69" s="33" t="s">
        <v>50</v>
      </c>
      <c r="H69" s="34">
        <f t="shared" ref="H69:H79" si="44">N46</f>
        <v>18</v>
      </c>
      <c r="I69" s="35">
        <f>(H69/21)*100</f>
        <v>85.714285714285708</v>
      </c>
      <c r="Q69" s="34">
        <v>4.29</v>
      </c>
      <c r="R69" s="34">
        <v>90</v>
      </c>
      <c r="T69" s="34">
        <v>74</v>
      </c>
      <c r="U69" s="34">
        <v>90</v>
      </c>
      <c r="W69" s="34">
        <v>31</v>
      </c>
      <c r="X69" s="34">
        <v>90</v>
      </c>
    </row>
    <row r="70" spans="1:24" x14ac:dyDescent="0.25">
      <c r="C70" s="33" t="s">
        <v>2</v>
      </c>
      <c r="D70" s="33" t="s">
        <v>22</v>
      </c>
      <c r="E70" s="34">
        <f>N5</f>
        <v>4</v>
      </c>
      <c r="G70" s="33" t="s">
        <v>157</v>
      </c>
      <c r="H70" s="34">
        <f t="shared" si="44"/>
        <v>20</v>
      </c>
      <c r="I70" s="35">
        <f>(H70/45)*100</f>
        <v>44.444444444444443</v>
      </c>
      <c r="Q70" s="34">
        <v>4.3899999999999997</v>
      </c>
      <c r="R70" s="34">
        <v>85</v>
      </c>
      <c r="T70" s="34">
        <v>75</v>
      </c>
      <c r="U70" s="34">
        <v>85</v>
      </c>
      <c r="W70" s="34">
        <v>32</v>
      </c>
      <c r="X70" s="34">
        <v>85</v>
      </c>
    </row>
    <row r="71" spans="1:24" x14ac:dyDescent="0.25">
      <c r="C71" s="33" t="s">
        <v>3</v>
      </c>
      <c r="D71" s="33" t="s">
        <v>22</v>
      </c>
      <c r="E71" s="34">
        <f>N6</f>
        <v>3</v>
      </c>
      <c r="G71" s="33" t="s">
        <v>158</v>
      </c>
      <c r="H71" s="34">
        <f t="shared" si="44"/>
        <v>9</v>
      </c>
      <c r="I71" s="35">
        <f>(H71/15)*100</f>
        <v>60</v>
      </c>
      <c r="Q71" s="34">
        <v>4.49</v>
      </c>
      <c r="R71" s="34">
        <v>80</v>
      </c>
      <c r="T71" s="34">
        <v>76</v>
      </c>
      <c r="U71" s="34">
        <v>80</v>
      </c>
      <c r="W71" s="34">
        <v>33</v>
      </c>
      <c r="X71" s="34">
        <v>80</v>
      </c>
    </row>
    <row r="72" spans="1:24" x14ac:dyDescent="0.25">
      <c r="C72" s="33" t="s">
        <v>4</v>
      </c>
      <c r="D72" s="33" t="s">
        <v>22</v>
      </c>
      <c r="E72" s="34">
        <f>N7</f>
        <v>3</v>
      </c>
      <c r="G72" s="62" t="s">
        <v>159</v>
      </c>
      <c r="H72" s="34">
        <f t="shared" si="44"/>
        <v>33</v>
      </c>
      <c r="I72" s="35">
        <f>(H72/45)*100</f>
        <v>73.333333333333329</v>
      </c>
      <c r="Q72" s="34">
        <v>4.59</v>
      </c>
      <c r="R72" s="34">
        <v>75</v>
      </c>
      <c r="T72" s="34">
        <v>77</v>
      </c>
      <c r="U72" s="34">
        <v>75</v>
      </c>
      <c r="W72" s="34">
        <v>34</v>
      </c>
      <c r="X72" s="34">
        <v>75</v>
      </c>
    </row>
    <row r="73" spans="1:24" x14ac:dyDescent="0.25">
      <c r="C73" s="33" t="s">
        <v>5</v>
      </c>
      <c r="D73" s="33" t="s">
        <v>22</v>
      </c>
      <c r="E73" s="34">
        <f>N7</f>
        <v>3</v>
      </c>
      <c r="G73" s="55" t="s">
        <v>160</v>
      </c>
      <c r="H73" s="56">
        <f t="shared" si="44"/>
        <v>13.03</v>
      </c>
      <c r="I73" s="35">
        <f>(H73/24)*100</f>
        <v>54.291666666666657</v>
      </c>
      <c r="Q73" s="34">
        <v>4.6900000000000004</v>
      </c>
      <c r="R73" s="34">
        <v>70</v>
      </c>
      <c r="T73" s="34">
        <v>78</v>
      </c>
      <c r="U73" s="34">
        <v>70</v>
      </c>
      <c r="W73" s="34">
        <v>35</v>
      </c>
      <c r="X73" s="34">
        <v>70</v>
      </c>
    </row>
    <row r="74" spans="1:24" x14ac:dyDescent="0.25">
      <c r="C74" s="33" t="s">
        <v>6</v>
      </c>
      <c r="D74" s="33" t="s">
        <v>1</v>
      </c>
      <c r="E74" s="34">
        <f>N8</f>
        <v>2</v>
      </c>
      <c r="G74" s="63" t="s">
        <v>161</v>
      </c>
      <c r="H74" s="56">
        <f t="shared" si="44"/>
        <v>11.01</v>
      </c>
      <c r="I74" s="35">
        <f>(H74/24)*100</f>
        <v>45.875</v>
      </c>
      <c r="Q74" s="34">
        <v>4.79</v>
      </c>
      <c r="R74" s="34">
        <v>65</v>
      </c>
      <c r="T74" s="34">
        <v>79</v>
      </c>
      <c r="U74" s="34">
        <v>65</v>
      </c>
      <c r="W74" s="34">
        <v>36</v>
      </c>
      <c r="X74" s="34">
        <v>65</v>
      </c>
    </row>
    <row r="75" spans="1:24" x14ac:dyDescent="0.25">
      <c r="C75" s="33" t="s">
        <v>7</v>
      </c>
      <c r="D75" s="33" t="s">
        <v>2</v>
      </c>
      <c r="E75" s="34">
        <f>N9</f>
        <v>2</v>
      </c>
      <c r="G75" s="33" t="s">
        <v>162</v>
      </c>
      <c r="H75" s="34">
        <f t="shared" si="44"/>
        <v>155</v>
      </c>
      <c r="I75" s="35">
        <f>(H75/240)*100</f>
        <v>64.583333333333343</v>
      </c>
      <c r="Q75" s="34">
        <v>4.8899999999999997</v>
      </c>
      <c r="R75" s="34">
        <v>60</v>
      </c>
      <c r="T75" s="34">
        <v>80</v>
      </c>
      <c r="U75" s="34">
        <v>60</v>
      </c>
      <c r="W75" s="34">
        <v>37</v>
      </c>
      <c r="X75" s="34">
        <v>60</v>
      </c>
    </row>
    <row r="76" spans="1:24" x14ac:dyDescent="0.25">
      <c r="D76" s="36" t="s">
        <v>163</v>
      </c>
      <c r="E76" s="34">
        <f>SUM(E69:E75)</f>
        <v>21</v>
      </c>
      <c r="G76" s="33" t="s">
        <v>164</v>
      </c>
      <c r="H76" s="34">
        <f t="shared" si="44"/>
        <v>240</v>
      </c>
      <c r="I76" s="35">
        <f>(H76/240)*100</f>
        <v>100</v>
      </c>
      <c r="Q76" s="34">
        <v>4.99</v>
      </c>
      <c r="R76" s="34">
        <v>55</v>
      </c>
      <c r="T76" s="34">
        <v>81</v>
      </c>
      <c r="U76" s="34">
        <v>55</v>
      </c>
      <c r="W76" s="34">
        <v>38</v>
      </c>
      <c r="X76" s="34">
        <v>55</v>
      </c>
    </row>
    <row r="77" spans="1:24" x14ac:dyDescent="0.25">
      <c r="E77" s="19"/>
      <c r="G77" s="33" t="s">
        <v>165</v>
      </c>
      <c r="H77" s="56">
        <f t="shared" si="44"/>
        <v>1.06</v>
      </c>
      <c r="I77" s="35">
        <f>(H77/2.04)*100</f>
        <v>51.960784313725497</v>
      </c>
      <c r="Q77" s="34">
        <v>5.0900000000000096</v>
      </c>
      <c r="R77" s="34">
        <v>50</v>
      </c>
      <c r="T77" s="34">
        <v>82</v>
      </c>
      <c r="U77" s="34">
        <v>50</v>
      </c>
      <c r="W77" s="34">
        <v>39</v>
      </c>
      <c r="X77" s="34">
        <v>50</v>
      </c>
    </row>
    <row r="78" spans="1:24" x14ac:dyDescent="0.25">
      <c r="C78" s="6" t="s">
        <v>8</v>
      </c>
      <c r="D78" s="6" t="s">
        <v>21</v>
      </c>
      <c r="E78" s="6" t="s">
        <v>166</v>
      </c>
      <c r="G78" s="37" t="s">
        <v>167</v>
      </c>
      <c r="H78" s="57">
        <f t="shared" si="44"/>
        <v>6.04</v>
      </c>
      <c r="I78" s="39">
        <f>(H78/8)*100</f>
        <v>75.5</v>
      </c>
      <c r="Q78" s="34">
        <v>5.1900000000000102</v>
      </c>
      <c r="R78" s="34">
        <v>45</v>
      </c>
      <c r="T78" s="34">
        <v>83</v>
      </c>
      <c r="U78" s="34">
        <v>45</v>
      </c>
      <c r="W78" s="34">
        <v>40</v>
      </c>
      <c r="X78" s="34">
        <v>45</v>
      </c>
    </row>
    <row r="79" spans="1:24" x14ac:dyDescent="0.25">
      <c r="C79" s="33" t="s">
        <v>10</v>
      </c>
      <c r="D79" s="33" t="s">
        <v>2</v>
      </c>
      <c r="E79" s="34">
        <f t="shared" ref="E79:E89" si="45">N12</f>
        <v>1</v>
      </c>
      <c r="G79" s="40" t="s">
        <v>168</v>
      </c>
      <c r="H79" s="34">
        <f t="shared" si="44"/>
        <v>5.19</v>
      </c>
      <c r="I79" s="39">
        <v>45</v>
      </c>
      <c r="Q79" s="34">
        <v>5.2900000000000098</v>
      </c>
      <c r="R79" s="34">
        <v>40</v>
      </c>
      <c r="T79" s="34">
        <v>84</v>
      </c>
      <c r="U79" s="34">
        <v>40</v>
      </c>
      <c r="W79" s="34">
        <v>41</v>
      </c>
      <c r="X79" s="34">
        <v>40</v>
      </c>
    </row>
    <row r="80" spans="1:24" x14ac:dyDescent="0.25">
      <c r="C80" s="33" t="s">
        <v>9</v>
      </c>
      <c r="D80" s="33" t="s">
        <v>2</v>
      </c>
      <c r="E80" s="34">
        <f t="shared" si="45"/>
        <v>4</v>
      </c>
      <c r="G80" s="10"/>
      <c r="H80" s="41" t="s">
        <v>169</v>
      </c>
      <c r="I80" s="42">
        <f>SUM(H69:H78)+(I79)</f>
        <v>551.1400000000001</v>
      </c>
      <c r="Q80" s="34">
        <v>5.3900000000000103</v>
      </c>
      <c r="R80" s="34">
        <v>35</v>
      </c>
      <c r="T80" s="34">
        <v>85</v>
      </c>
      <c r="U80" s="34">
        <v>35</v>
      </c>
      <c r="W80" s="34">
        <v>42</v>
      </c>
      <c r="X80" s="34">
        <v>35</v>
      </c>
    </row>
    <row r="81" spans="3:24" x14ac:dyDescent="0.25">
      <c r="C81" s="33" t="s">
        <v>11</v>
      </c>
      <c r="D81" s="33" t="s">
        <v>72</v>
      </c>
      <c r="E81" s="34">
        <f t="shared" si="45"/>
        <v>0</v>
      </c>
      <c r="H81" s="43" t="s">
        <v>170</v>
      </c>
      <c r="I81" s="44">
        <f>(I80/790)*33</f>
        <v>23.022303797468357</v>
      </c>
      <c r="Q81" s="34">
        <v>5.49000000000001</v>
      </c>
      <c r="R81" s="34">
        <v>30</v>
      </c>
      <c r="T81" s="34">
        <v>86</v>
      </c>
      <c r="U81" s="34">
        <v>30</v>
      </c>
      <c r="W81" s="34">
        <v>43</v>
      </c>
      <c r="X81" s="34">
        <v>30</v>
      </c>
    </row>
    <row r="82" spans="3:24" ht="15" customHeight="1" x14ac:dyDescent="0.35">
      <c r="C82" s="33" t="s">
        <v>12</v>
      </c>
      <c r="D82" s="33" t="s">
        <v>23</v>
      </c>
      <c r="E82" s="34">
        <f t="shared" si="45"/>
        <v>3</v>
      </c>
      <c r="G82" s="45"/>
      <c r="H82" s="46"/>
      <c r="I82" s="46"/>
      <c r="Q82" s="34">
        <v>5.5900000000000096</v>
      </c>
      <c r="R82" s="34">
        <v>25</v>
      </c>
      <c r="T82" s="34">
        <v>87</v>
      </c>
      <c r="U82" s="34">
        <v>25</v>
      </c>
      <c r="W82" s="34">
        <v>44</v>
      </c>
      <c r="X82" s="34">
        <v>25</v>
      </c>
    </row>
    <row r="83" spans="3:24" ht="15" customHeight="1" x14ac:dyDescent="0.25">
      <c r="C83" s="33" t="s">
        <v>13</v>
      </c>
      <c r="D83" s="33" t="s">
        <v>23</v>
      </c>
      <c r="E83" s="34">
        <f t="shared" si="45"/>
        <v>2</v>
      </c>
      <c r="G83" s="68" t="s">
        <v>171</v>
      </c>
      <c r="H83" s="68"/>
      <c r="I83" s="68"/>
      <c r="Q83" s="34">
        <v>5.6900000000000102</v>
      </c>
      <c r="R83" s="34">
        <v>20</v>
      </c>
      <c r="T83" s="34">
        <v>88</v>
      </c>
      <c r="U83" s="34">
        <v>20</v>
      </c>
      <c r="W83" s="34">
        <v>45</v>
      </c>
      <c r="X83" s="34">
        <v>20</v>
      </c>
    </row>
    <row r="84" spans="3:24" ht="15" customHeight="1" x14ac:dyDescent="0.25">
      <c r="C84" s="33" t="s">
        <v>14</v>
      </c>
      <c r="D84" s="33" t="s">
        <v>23</v>
      </c>
      <c r="E84" s="34">
        <f t="shared" si="45"/>
        <v>0</v>
      </c>
      <c r="G84" s="68"/>
      <c r="H84" s="68"/>
      <c r="I84" s="68"/>
      <c r="Q84" s="34">
        <v>5.7900000000000098</v>
      </c>
      <c r="R84" s="34">
        <v>15</v>
      </c>
      <c r="T84" s="34">
        <v>89</v>
      </c>
      <c r="U84" s="34">
        <v>15</v>
      </c>
      <c r="W84" s="34">
        <v>46</v>
      </c>
      <c r="X84" s="34">
        <v>15</v>
      </c>
    </row>
    <row r="85" spans="3:24" x14ac:dyDescent="0.25">
      <c r="C85" s="33" t="s">
        <v>15</v>
      </c>
      <c r="D85" s="33" t="s">
        <v>6</v>
      </c>
      <c r="E85" s="34">
        <f t="shared" si="45"/>
        <v>3</v>
      </c>
      <c r="G85" s="10"/>
      <c r="H85" s="47" t="s">
        <v>172</v>
      </c>
      <c r="I85" s="47" t="s">
        <v>154</v>
      </c>
      <c r="Q85" s="34">
        <v>5.8900000000000103</v>
      </c>
      <c r="R85" s="34">
        <v>10</v>
      </c>
      <c r="T85" s="34">
        <v>90</v>
      </c>
      <c r="U85" s="34">
        <v>10</v>
      </c>
      <c r="W85" s="34">
        <v>47</v>
      </c>
      <c r="X85" s="34">
        <v>10</v>
      </c>
    </row>
    <row r="86" spans="3:24" x14ac:dyDescent="0.25">
      <c r="C86" s="33" t="s">
        <v>173</v>
      </c>
      <c r="D86" s="33" t="s">
        <v>6</v>
      </c>
      <c r="E86" s="34">
        <f t="shared" si="45"/>
        <v>2</v>
      </c>
      <c r="G86" s="37" t="s">
        <v>35</v>
      </c>
      <c r="H86" s="38">
        <f t="shared" ref="H86:H94" si="46">N36</f>
        <v>0</v>
      </c>
      <c r="I86" s="39"/>
      <c r="Q86" s="34">
        <v>5.99000000000001</v>
      </c>
      <c r="R86" s="34">
        <v>5</v>
      </c>
      <c r="T86" s="34">
        <v>91</v>
      </c>
      <c r="U86" s="34">
        <v>5</v>
      </c>
      <c r="W86" s="34">
        <v>48</v>
      </c>
      <c r="X86" s="34">
        <v>5</v>
      </c>
    </row>
    <row r="87" spans="3:24" x14ac:dyDescent="0.25">
      <c r="C87" s="33" t="s">
        <v>17</v>
      </c>
      <c r="D87" s="33" t="s">
        <v>6</v>
      </c>
      <c r="E87" s="34">
        <f t="shared" si="45"/>
        <v>1</v>
      </c>
      <c r="G87" s="61" t="s">
        <v>174</v>
      </c>
      <c r="H87" s="60">
        <f t="shared" si="46"/>
        <v>0</v>
      </c>
      <c r="I87" s="39">
        <f>(H87/60%)*100</f>
        <v>0</v>
      </c>
    </row>
    <row r="88" spans="3:24" x14ac:dyDescent="0.25">
      <c r="C88" s="33" t="s">
        <v>18</v>
      </c>
      <c r="D88" s="33" t="s">
        <v>24</v>
      </c>
      <c r="E88" s="34">
        <f t="shared" si="45"/>
        <v>1</v>
      </c>
      <c r="G88" s="37" t="s">
        <v>175</v>
      </c>
      <c r="H88" s="60">
        <f t="shared" si="46"/>
        <v>0</v>
      </c>
      <c r="I88" s="39">
        <f>(H88/50%)*100</f>
        <v>0</v>
      </c>
      <c r="Q88" s="69" t="s">
        <v>177</v>
      </c>
      <c r="R88" s="70"/>
      <c r="T88" s="69" t="s">
        <v>178</v>
      </c>
      <c r="U88" s="70"/>
      <c r="W88" s="69" t="s">
        <v>179</v>
      </c>
      <c r="X88" s="70"/>
    </row>
    <row r="89" spans="3:24" x14ac:dyDescent="0.25">
      <c r="C89" s="33" t="s">
        <v>176</v>
      </c>
      <c r="D89" s="33" t="s">
        <v>23</v>
      </c>
      <c r="E89" s="34">
        <f t="shared" si="45"/>
        <v>1</v>
      </c>
      <c r="G89" s="37" t="s">
        <v>156</v>
      </c>
      <c r="H89" s="38">
        <f t="shared" si="46"/>
        <v>0</v>
      </c>
      <c r="I89" s="39"/>
      <c r="Q89" s="34">
        <v>1.67</v>
      </c>
      <c r="R89" s="34">
        <v>100</v>
      </c>
      <c r="T89" s="34">
        <v>43</v>
      </c>
      <c r="U89" s="34">
        <v>100</v>
      </c>
      <c r="W89" s="34">
        <v>47</v>
      </c>
      <c r="X89" s="34">
        <v>100</v>
      </c>
    </row>
    <row r="90" spans="3:24" x14ac:dyDescent="0.25">
      <c r="D90" s="36" t="s">
        <v>163</v>
      </c>
      <c r="E90" s="34">
        <f>SUM(E79:E89)</f>
        <v>18</v>
      </c>
      <c r="G90" s="37" t="s">
        <v>177</v>
      </c>
      <c r="H90" s="59">
        <f t="shared" si="46"/>
        <v>0</v>
      </c>
      <c r="I90" s="39"/>
      <c r="Q90" s="34">
        <v>1.77</v>
      </c>
      <c r="R90" s="34">
        <v>95</v>
      </c>
      <c r="T90" s="34">
        <v>45</v>
      </c>
      <c r="U90" s="34">
        <v>95</v>
      </c>
      <c r="W90" s="34">
        <v>49</v>
      </c>
      <c r="X90" s="34">
        <v>95</v>
      </c>
    </row>
    <row r="91" spans="3:24" x14ac:dyDescent="0.25">
      <c r="E91" s="19"/>
      <c r="G91" s="37" t="s">
        <v>180</v>
      </c>
      <c r="H91" s="58">
        <f t="shared" si="46"/>
        <v>0</v>
      </c>
      <c r="I91" s="39">
        <f>(H91/40%)*100</f>
        <v>0</v>
      </c>
      <c r="Q91" s="34">
        <v>1.87</v>
      </c>
      <c r="R91" s="34">
        <v>90</v>
      </c>
      <c r="T91" s="34">
        <v>47</v>
      </c>
      <c r="U91" s="34">
        <v>90</v>
      </c>
      <c r="W91" s="34">
        <v>51</v>
      </c>
      <c r="X91" s="34">
        <v>90</v>
      </c>
    </row>
    <row r="92" spans="3:24" x14ac:dyDescent="0.25">
      <c r="C92" s="6" t="s">
        <v>181</v>
      </c>
      <c r="D92" s="6" t="s">
        <v>21</v>
      </c>
      <c r="E92" s="6" t="s">
        <v>152</v>
      </c>
      <c r="G92" s="37" t="s">
        <v>182</v>
      </c>
      <c r="H92" s="58">
        <f t="shared" si="46"/>
        <v>0.64900000000000002</v>
      </c>
      <c r="I92" s="39">
        <f>(H92/81%)*100</f>
        <v>80.123456790123456</v>
      </c>
      <c r="Q92" s="34">
        <v>2</v>
      </c>
      <c r="R92" s="34">
        <v>85</v>
      </c>
      <c r="T92" s="34">
        <v>49</v>
      </c>
      <c r="U92" s="34">
        <v>85</v>
      </c>
      <c r="W92" s="34">
        <v>53</v>
      </c>
      <c r="X92" s="34">
        <v>85</v>
      </c>
    </row>
    <row r="93" spans="3:24" x14ac:dyDescent="0.25">
      <c r="C93" s="33" t="s">
        <v>11</v>
      </c>
      <c r="D93" s="33" t="s">
        <v>23</v>
      </c>
      <c r="E93" s="34">
        <f>N24</f>
        <v>3</v>
      </c>
      <c r="G93" s="37" t="s">
        <v>183</v>
      </c>
      <c r="H93" s="38">
        <f t="shared" si="46"/>
        <v>48</v>
      </c>
      <c r="I93" s="39">
        <v>87.5</v>
      </c>
      <c r="Q93" s="34">
        <v>2.0699999999999998</v>
      </c>
      <c r="R93" s="34">
        <v>80</v>
      </c>
      <c r="T93" s="34">
        <v>51</v>
      </c>
      <c r="U93" s="34">
        <v>80</v>
      </c>
      <c r="W93" s="34">
        <v>55</v>
      </c>
      <c r="X93" s="34">
        <v>80</v>
      </c>
    </row>
    <row r="94" spans="3:24" x14ac:dyDescent="0.25">
      <c r="C94" s="33" t="s">
        <v>20</v>
      </c>
      <c r="D94" s="33" t="s">
        <v>6</v>
      </c>
      <c r="E94" s="34">
        <f>N25</f>
        <v>2</v>
      </c>
      <c r="G94" s="37" t="s">
        <v>184</v>
      </c>
      <c r="H94" s="38">
        <f t="shared" si="46"/>
        <v>60</v>
      </c>
      <c r="I94" s="39">
        <v>67.5</v>
      </c>
      <c r="Q94" s="34">
        <v>2.1850000000000001</v>
      </c>
      <c r="R94" s="34">
        <v>75</v>
      </c>
      <c r="T94" s="34">
        <v>53</v>
      </c>
      <c r="U94" s="34">
        <v>75</v>
      </c>
      <c r="W94" s="34">
        <v>57</v>
      </c>
      <c r="X94" s="34">
        <v>75</v>
      </c>
    </row>
    <row r="95" spans="3:24" x14ac:dyDescent="0.25">
      <c r="D95" s="36" t="s">
        <v>185</v>
      </c>
      <c r="E95" s="34">
        <f>SUM(E93:E94)</f>
        <v>5</v>
      </c>
      <c r="H95" s="48" t="s">
        <v>169</v>
      </c>
      <c r="I95" s="49">
        <f>SUM(I86:I94)</f>
        <v>235.12345679012344</v>
      </c>
      <c r="Q95" s="34">
        <v>2.2879999999999998</v>
      </c>
      <c r="R95" s="34">
        <v>70</v>
      </c>
      <c r="T95" s="34">
        <v>55</v>
      </c>
      <c r="U95" s="34">
        <v>70</v>
      </c>
      <c r="W95" s="34">
        <v>59</v>
      </c>
      <c r="X95" s="34">
        <v>70</v>
      </c>
    </row>
    <row r="96" spans="3:24" x14ac:dyDescent="0.25">
      <c r="E96" s="19"/>
      <c r="H96" s="43" t="s">
        <v>186</v>
      </c>
      <c r="I96" s="44">
        <f>(I95/900)*33</f>
        <v>8.62119341563786</v>
      </c>
      <c r="Q96" s="34">
        <v>2.391</v>
      </c>
      <c r="R96" s="34">
        <v>65</v>
      </c>
      <c r="T96" s="34">
        <v>57</v>
      </c>
      <c r="U96" s="34">
        <v>65</v>
      </c>
      <c r="W96" s="34">
        <v>61</v>
      </c>
      <c r="X96" s="34">
        <v>65</v>
      </c>
    </row>
    <row r="97" spans="3:24" x14ac:dyDescent="0.25">
      <c r="C97" s="6" t="s">
        <v>25</v>
      </c>
      <c r="D97" s="6" t="s">
        <v>187</v>
      </c>
      <c r="E97" s="6" t="s">
        <v>188</v>
      </c>
      <c r="Q97" s="34">
        <v>2.4940000000000002</v>
      </c>
      <c r="R97" s="34">
        <v>60</v>
      </c>
      <c r="T97" s="34">
        <v>59</v>
      </c>
      <c r="U97" s="34">
        <v>60</v>
      </c>
      <c r="W97" s="34">
        <v>63</v>
      </c>
      <c r="X97" s="34">
        <v>60</v>
      </c>
    </row>
    <row r="98" spans="3:24" x14ac:dyDescent="0.25">
      <c r="C98" s="33" t="s">
        <v>189</v>
      </c>
      <c r="D98" s="33" t="s">
        <v>14</v>
      </c>
      <c r="E98" s="34">
        <f>N27</f>
        <v>4</v>
      </c>
      <c r="G98" s="1" t="s">
        <v>190</v>
      </c>
      <c r="H98" s="1"/>
      <c r="I98" s="1"/>
      <c r="Q98" s="34">
        <v>2.597</v>
      </c>
      <c r="R98" s="34">
        <v>55</v>
      </c>
      <c r="T98" s="34">
        <v>61</v>
      </c>
      <c r="U98" s="34">
        <v>55</v>
      </c>
      <c r="W98" s="34">
        <v>65</v>
      </c>
      <c r="X98" s="34">
        <v>55</v>
      </c>
    </row>
    <row r="99" spans="3:24" x14ac:dyDescent="0.25">
      <c r="C99" s="33" t="s">
        <v>191</v>
      </c>
      <c r="D99" s="33" t="s">
        <v>13</v>
      </c>
      <c r="E99" s="34">
        <f>N28</f>
        <v>4</v>
      </c>
      <c r="G99" s="2" t="s">
        <v>192</v>
      </c>
      <c r="Q99" s="34">
        <v>2.7</v>
      </c>
      <c r="R99" s="34">
        <v>50</v>
      </c>
      <c r="T99" s="34">
        <v>63</v>
      </c>
      <c r="U99" s="34">
        <v>50</v>
      </c>
      <c r="W99" s="34">
        <v>67</v>
      </c>
      <c r="X99" s="34">
        <v>50</v>
      </c>
    </row>
    <row r="100" spans="3:24" x14ac:dyDescent="0.25">
      <c r="C100" s="33" t="s">
        <v>193</v>
      </c>
      <c r="D100" s="33" t="s">
        <v>12</v>
      </c>
      <c r="E100" s="34">
        <f>N29</f>
        <v>5</v>
      </c>
      <c r="G100" s="2" t="s">
        <v>194</v>
      </c>
      <c r="Q100" s="34">
        <v>2.8029999999999999</v>
      </c>
      <c r="R100" s="34">
        <v>45</v>
      </c>
      <c r="T100" s="34">
        <v>65</v>
      </c>
      <c r="U100" s="34">
        <v>45</v>
      </c>
      <c r="W100" s="34">
        <v>69</v>
      </c>
      <c r="X100" s="34">
        <v>45</v>
      </c>
    </row>
    <row r="101" spans="3:24" x14ac:dyDescent="0.25">
      <c r="E101" s="50" t="s">
        <v>166</v>
      </c>
      <c r="G101" s="2" t="s">
        <v>195</v>
      </c>
      <c r="Q101" s="34">
        <v>2.9060000000000001</v>
      </c>
      <c r="R101" s="34">
        <v>40</v>
      </c>
      <c r="T101" s="34">
        <v>67</v>
      </c>
      <c r="U101" s="34">
        <v>40</v>
      </c>
      <c r="W101" s="34">
        <v>71</v>
      </c>
      <c r="X101" s="34">
        <v>40</v>
      </c>
    </row>
    <row r="102" spans="3:24" x14ac:dyDescent="0.25">
      <c r="C102" s="33" t="s">
        <v>29</v>
      </c>
      <c r="D102" s="33" t="s">
        <v>12</v>
      </c>
      <c r="E102" s="34">
        <f>N30</f>
        <v>3</v>
      </c>
      <c r="G102" s="2" t="s">
        <v>196</v>
      </c>
      <c r="Q102" s="34">
        <v>3.0089999999999999</v>
      </c>
      <c r="R102" s="34">
        <v>35</v>
      </c>
      <c r="T102" s="34">
        <v>69</v>
      </c>
      <c r="U102" s="34">
        <v>35</v>
      </c>
      <c r="W102" s="34">
        <v>73</v>
      </c>
      <c r="X102" s="34">
        <v>35</v>
      </c>
    </row>
    <row r="103" spans="3:24" x14ac:dyDescent="0.25">
      <c r="C103" s="33" t="s">
        <v>30</v>
      </c>
      <c r="D103" s="33" t="s">
        <v>12</v>
      </c>
      <c r="E103" s="34">
        <f>N31</f>
        <v>0</v>
      </c>
      <c r="G103" s="2" t="s">
        <v>197</v>
      </c>
      <c r="H103" s="51">
        <f>1+E111+I81+I96</f>
        <v>49.277643554569636</v>
      </c>
      <c r="Q103" s="34">
        <v>3.1120000000000001</v>
      </c>
      <c r="R103" s="34">
        <v>30</v>
      </c>
      <c r="T103" s="34">
        <v>71</v>
      </c>
      <c r="U103" s="34">
        <v>30</v>
      </c>
      <c r="W103" s="34">
        <v>75</v>
      </c>
      <c r="X103" s="34">
        <v>30</v>
      </c>
    </row>
    <row r="104" spans="3:24" x14ac:dyDescent="0.25">
      <c r="C104" s="33" t="s">
        <v>31</v>
      </c>
      <c r="D104" s="33" t="s">
        <v>11</v>
      </c>
      <c r="E104" s="34">
        <f>N32</f>
        <v>0</v>
      </c>
      <c r="Q104" s="34">
        <v>3.2149999999999999</v>
      </c>
      <c r="R104" s="34">
        <v>25</v>
      </c>
      <c r="T104" s="34">
        <v>73</v>
      </c>
      <c r="U104" s="34">
        <v>25</v>
      </c>
      <c r="W104" s="34">
        <v>77</v>
      </c>
      <c r="X104" s="34">
        <v>25</v>
      </c>
    </row>
    <row r="105" spans="3:24" x14ac:dyDescent="0.25">
      <c r="C105" s="33" t="s">
        <v>32</v>
      </c>
      <c r="D105" s="33" t="s">
        <v>11</v>
      </c>
      <c r="E105" s="34">
        <f>N33</f>
        <v>0</v>
      </c>
      <c r="Q105" s="34">
        <v>3.3180000000000001</v>
      </c>
      <c r="R105" s="34">
        <v>20</v>
      </c>
      <c r="T105" s="34">
        <v>75</v>
      </c>
      <c r="U105" s="34">
        <v>20</v>
      </c>
      <c r="W105" s="34">
        <v>79</v>
      </c>
      <c r="X105" s="34">
        <v>20</v>
      </c>
    </row>
    <row r="106" spans="3:24" x14ac:dyDescent="0.25">
      <c r="D106" s="48"/>
      <c r="E106" s="50" t="s">
        <v>198</v>
      </c>
      <c r="Q106" s="34">
        <v>3.4209999999999998</v>
      </c>
      <c r="R106" s="34">
        <v>15</v>
      </c>
      <c r="T106" s="34">
        <v>77</v>
      </c>
      <c r="U106" s="34">
        <v>15</v>
      </c>
      <c r="W106" s="34">
        <v>81</v>
      </c>
      <c r="X106" s="34">
        <v>15</v>
      </c>
    </row>
    <row r="107" spans="3:24" x14ac:dyDescent="0.25">
      <c r="C107" s="64" t="s">
        <v>199</v>
      </c>
      <c r="D107" s="52" t="s">
        <v>12</v>
      </c>
      <c r="E107" s="34">
        <f>N34</f>
        <v>2</v>
      </c>
      <c r="Q107" s="34">
        <v>3.524</v>
      </c>
      <c r="R107" s="34">
        <v>10</v>
      </c>
      <c r="T107" s="34">
        <v>79</v>
      </c>
      <c r="U107" s="34">
        <v>10</v>
      </c>
      <c r="W107" s="34">
        <v>83</v>
      </c>
      <c r="X107" s="34">
        <v>10</v>
      </c>
    </row>
    <row r="108" spans="3:24" x14ac:dyDescent="0.25">
      <c r="D108" s="36" t="s">
        <v>185</v>
      </c>
      <c r="E108" s="34">
        <f>SUM(E98:E107)</f>
        <v>18</v>
      </c>
      <c r="Q108" s="34">
        <v>3.6269999999999998</v>
      </c>
      <c r="R108" s="34">
        <v>5</v>
      </c>
      <c r="T108" s="34">
        <v>81</v>
      </c>
      <c r="U108" s="34">
        <v>5</v>
      </c>
      <c r="W108" s="34">
        <v>85</v>
      </c>
      <c r="X108" s="34">
        <v>5</v>
      </c>
    </row>
    <row r="110" spans="3:24" x14ac:dyDescent="0.25">
      <c r="D110" s="36" t="s">
        <v>200</v>
      </c>
      <c r="E110" s="6">
        <f>SUM(E76+E90+E95+E108)</f>
        <v>62</v>
      </c>
    </row>
    <row r="111" spans="3:24" x14ac:dyDescent="0.25">
      <c r="D111" s="43" t="s">
        <v>201</v>
      </c>
      <c r="E111" s="44">
        <f>(E110/123)*33</f>
        <v>16.634146341463413</v>
      </c>
    </row>
  </sheetData>
  <autoFilter ref="A3:L59"/>
  <mergeCells count="10">
    <mergeCell ref="G83:I84"/>
    <mergeCell ref="Q88:R88"/>
    <mergeCell ref="T88:U88"/>
    <mergeCell ref="W88:X88"/>
    <mergeCell ref="A1:O1"/>
    <mergeCell ref="N2:O2"/>
    <mergeCell ref="A65:L65"/>
    <mergeCell ref="Q66:R66"/>
    <mergeCell ref="T66:U66"/>
    <mergeCell ref="W66:X66"/>
  </mergeCells>
  <conditionalFormatting sqref="C4">
    <cfRule type="cellIs" dxfId="2447" priority="603" operator="greaterThan">
      <formula>3</formula>
    </cfRule>
    <cfRule type="cellIs" dxfId="2446" priority="604" operator="lessThan">
      <formula>3</formula>
    </cfRule>
    <cfRule type="cellIs" dxfId="2445" priority="612" operator="equal">
      <formula>3</formula>
    </cfRule>
  </conditionalFormatting>
  <conditionalFormatting sqref="C5">
    <cfRule type="cellIs" dxfId="2444" priority="602" operator="lessThan">
      <formula>2</formula>
    </cfRule>
    <cfRule type="cellIs" dxfId="2443" priority="610" operator="greaterThan">
      <formula>2</formula>
    </cfRule>
    <cfRule type="cellIs" dxfId="2442" priority="611" operator="equal">
      <formula>2</formula>
    </cfRule>
  </conditionalFormatting>
  <conditionalFormatting sqref="C6:D6">
    <cfRule type="cellIs" dxfId="2441" priority="601" operator="lessThan">
      <formula>2</formula>
    </cfRule>
    <cfRule type="cellIs" dxfId="2440" priority="609" operator="greaterThan">
      <formula>1.9</formula>
    </cfRule>
  </conditionalFormatting>
  <conditionalFormatting sqref="C7:D7">
    <cfRule type="cellIs" dxfId="2439" priority="600" operator="lessThan">
      <formula>1</formula>
    </cfRule>
    <cfRule type="cellIs" dxfId="2438" priority="608" operator="greaterThan">
      <formula>0.9</formula>
    </cfRule>
  </conditionalFormatting>
  <conditionalFormatting sqref="C8:D8">
    <cfRule type="cellIs" dxfId="2437" priority="597" operator="greaterThan">
      <formula>0.9</formula>
    </cfRule>
    <cfRule type="cellIs" dxfId="2436" priority="598" operator="greaterThan">
      <formula>1</formula>
    </cfRule>
    <cfRule type="cellIs" dxfId="2435" priority="607" operator="equal">
      <formula>0</formula>
    </cfRule>
  </conditionalFormatting>
  <conditionalFormatting sqref="C9">
    <cfRule type="cellIs" dxfId="2434" priority="606" operator="greaterThan">
      <formula>0</formula>
    </cfRule>
  </conditionalFormatting>
  <conditionalFormatting sqref="C10">
    <cfRule type="cellIs" dxfId="2433" priority="605" operator="greaterThan">
      <formula>0</formula>
    </cfRule>
  </conditionalFormatting>
  <conditionalFormatting sqref="C9:C10">
    <cfRule type="cellIs" dxfId="2432" priority="599" operator="equal">
      <formula>0</formula>
    </cfRule>
  </conditionalFormatting>
  <conditionalFormatting sqref="L4">
    <cfRule type="cellIs" dxfId="2431" priority="596" operator="lessThan">
      <formula>4</formula>
    </cfRule>
  </conditionalFormatting>
  <conditionalFormatting sqref="L5:L7">
    <cfRule type="cellIs" dxfId="2430" priority="595" operator="lessThan">
      <formula>4</formula>
    </cfRule>
  </conditionalFormatting>
  <conditionalFormatting sqref="L8">
    <cfRule type="cellIs" dxfId="2429" priority="591" operator="greaterThan">
      <formula>1.9</formula>
    </cfRule>
    <cfRule type="cellIs" dxfId="2428" priority="594" operator="lessThan">
      <formula>2</formula>
    </cfRule>
  </conditionalFormatting>
  <conditionalFormatting sqref="L9:L10">
    <cfRule type="cellIs" dxfId="2427" priority="590" operator="greaterThan">
      <formula>2.9</formula>
    </cfRule>
    <cfRule type="cellIs" dxfId="2426" priority="593" operator="lessThan">
      <formula>3</formula>
    </cfRule>
  </conditionalFormatting>
  <conditionalFormatting sqref="L4:L7">
    <cfRule type="cellIs" dxfId="2425" priority="592" operator="greaterThan">
      <formula>3.9</formula>
    </cfRule>
  </conditionalFormatting>
  <conditionalFormatting sqref="L12:L15">
    <cfRule type="cellIs" dxfId="2424" priority="588" operator="lessThan">
      <formula>3.9</formula>
    </cfRule>
    <cfRule type="cellIs" dxfId="2423" priority="589" operator="greaterThan">
      <formula>3.9</formula>
    </cfRule>
  </conditionalFormatting>
  <conditionalFormatting sqref="L18:L21">
    <cfRule type="cellIs" dxfId="2422" priority="586" operator="lessThan">
      <formula>2.9</formula>
    </cfRule>
    <cfRule type="cellIs" dxfId="2421" priority="587" operator="greaterThan">
      <formula>2.9</formula>
    </cfRule>
  </conditionalFormatting>
  <conditionalFormatting sqref="L16">
    <cfRule type="cellIs" dxfId="2420" priority="584" operator="lessThan">
      <formula>2.9</formula>
    </cfRule>
    <cfRule type="cellIs" dxfId="2419" priority="585" operator="greaterThan">
      <formula>2.9</formula>
    </cfRule>
  </conditionalFormatting>
  <conditionalFormatting sqref="L17">
    <cfRule type="cellIs" dxfId="2418" priority="582" operator="lessThan">
      <formula>1.9</formula>
    </cfRule>
    <cfRule type="cellIs" dxfId="2417" priority="583" operator="greaterThan">
      <formula>1.9</formula>
    </cfRule>
  </conditionalFormatting>
  <conditionalFormatting sqref="L22">
    <cfRule type="cellIs" dxfId="2416" priority="580" operator="lessThan">
      <formula>3.9</formula>
    </cfRule>
    <cfRule type="cellIs" dxfId="2415" priority="581" operator="greaterThan">
      <formula>3.9</formula>
    </cfRule>
  </conditionalFormatting>
  <conditionalFormatting sqref="K12:K14">
    <cfRule type="cellIs" dxfId="2414" priority="578" operator="lessThan">
      <formula>3.9</formula>
    </cfRule>
    <cfRule type="cellIs" dxfId="2413" priority="579" operator="greaterThan">
      <formula>3.9</formula>
    </cfRule>
  </conditionalFormatting>
  <conditionalFormatting sqref="J12:J13">
    <cfRule type="cellIs" dxfId="2412" priority="576" operator="lessThan">
      <formula>3.9</formula>
    </cfRule>
    <cfRule type="cellIs" dxfId="2411" priority="577" operator="greaterThan">
      <formula>3.9</formula>
    </cfRule>
  </conditionalFormatting>
  <conditionalFormatting sqref="I12:I13">
    <cfRule type="cellIs" dxfId="2410" priority="574" operator="lessThan">
      <formula>3.9</formula>
    </cfRule>
    <cfRule type="cellIs" dxfId="2409" priority="575" operator="greaterThan">
      <formula>3.9</formula>
    </cfRule>
  </conditionalFormatting>
  <conditionalFormatting sqref="H12:H13">
    <cfRule type="cellIs" dxfId="2408" priority="572" operator="lessThan">
      <formula>3.9</formula>
    </cfRule>
    <cfRule type="cellIs" dxfId="2407" priority="573" operator="greaterThan">
      <formula>3.9</formula>
    </cfRule>
  </conditionalFormatting>
  <conditionalFormatting sqref="G12:G13">
    <cfRule type="cellIs" dxfId="2406" priority="570" operator="lessThan">
      <formula>3.9</formula>
    </cfRule>
    <cfRule type="cellIs" dxfId="2405" priority="571" operator="greaterThan">
      <formula>3.9</formula>
    </cfRule>
  </conditionalFormatting>
  <conditionalFormatting sqref="L24">
    <cfRule type="cellIs" dxfId="2404" priority="568" operator="lessThan">
      <formula>3.9</formula>
    </cfRule>
    <cfRule type="cellIs" dxfId="2403" priority="569" operator="greaterThan">
      <formula>3.9</formula>
    </cfRule>
  </conditionalFormatting>
  <conditionalFormatting sqref="L25">
    <cfRule type="cellIs" dxfId="2402" priority="566" operator="lessThan">
      <formula>2.9</formula>
    </cfRule>
    <cfRule type="cellIs" dxfId="2401" priority="567" operator="greaterThan">
      <formula>2.9</formula>
    </cfRule>
  </conditionalFormatting>
  <conditionalFormatting sqref="L27:L29">
    <cfRule type="cellIs" dxfId="2400" priority="564" operator="lessThan">
      <formula>4.9</formula>
    </cfRule>
    <cfRule type="cellIs" dxfId="2399" priority="565" operator="greaterThan">
      <formula>4.9</formula>
    </cfRule>
  </conditionalFormatting>
  <conditionalFormatting sqref="L30">
    <cfRule type="cellIs" dxfId="2398" priority="562" operator="lessThan">
      <formula>2.9</formula>
    </cfRule>
    <cfRule type="cellIs" dxfId="2397" priority="563" operator="greaterThan">
      <formula>2.9</formula>
    </cfRule>
  </conditionalFormatting>
  <conditionalFormatting sqref="L31">
    <cfRule type="cellIs" dxfId="2396" priority="560" operator="lessThan">
      <formula>2.9</formula>
    </cfRule>
    <cfRule type="cellIs" dxfId="2395" priority="561" operator="greaterThan">
      <formula>2.9</formula>
    </cfRule>
  </conditionalFormatting>
  <conditionalFormatting sqref="L32">
    <cfRule type="cellIs" dxfId="2394" priority="558" operator="lessThan">
      <formula>2.9</formula>
    </cfRule>
    <cfRule type="cellIs" dxfId="2393" priority="559" operator="greaterThan">
      <formula>2.9</formula>
    </cfRule>
  </conditionalFormatting>
  <conditionalFormatting sqref="L33">
    <cfRule type="cellIs" dxfId="2392" priority="556" operator="lessThan">
      <formula>2.9</formula>
    </cfRule>
    <cfRule type="cellIs" dxfId="2391" priority="557" operator="greaterThan">
      <formula>2.9</formula>
    </cfRule>
  </conditionalFormatting>
  <conditionalFormatting sqref="L34">
    <cfRule type="cellIs" dxfId="2390" priority="554" operator="lessThan">
      <formula>6.9</formula>
    </cfRule>
    <cfRule type="cellIs" dxfId="2389" priority="555" operator="greaterThan">
      <formula>6.9</formula>
    </cfRule>
  </conditionalFormatting>
  <conditionalFormatting sqref="L36">
    <cfRule type="cellIs" dxfId="2388" priority="551" operator="equal">
      <formula>2</formula>
    </cfRule>
    <cfRule type="cellIs" dxfId="2387" priority="552" operator="lessThan">
      <formula>2</formula>
    </cfRule>
    <cfRule type="cellIs" dxfId="2386" priority="553" operator="greaterThan">
      <formula>2</formula>
    </cfRule>
  </conditionalFormatting>
  <conditionalFormatting sqref="L37">
    <cfRule type="cellIs" dxfId="2385" priority="549" operator="lessThan">
      <formula>0.599</formula>
    </cfRule>
    <cfRule type="cellIs" dxfId="2384" priority="550" operator="greaterThan">
      <formula>0.599</formula>
    </cfRule>
  </conditionalFormatting>
  <conditionalFormatting sqref="L38">
    <cfRule type="cellIs" dxfId="2383" priority="547" operator="lessThan">
      <formula>0.499</formula>
    </cfRule>
    <cfRule type="cellIs" dxfId="2382" priority="548" operator="greaterThan">
      <formula>0.499</formula>
    </cfRule>
  </conditionalFormatting>
  <conditionalFormatting sqref="L39">
    <cfRule type="cellIs" dxfId="2381" priority="544" operator="equal">
      <formula>30</formula>
    </cfRule>
    <cfRule type="cellIs" dxfId="2380" priority="545" operator="greaterThan">
      <formula>30</formula>
    </cfRule>
    <cfRule type="cellIs" dxfId="2379" priority="546" operator="lessThan">
      <formula>30</formula>
    </cfRule>
  </conditionalFormatting>
  <conditionalFormatting sqref="L40">
    <cfRule type="cellIs" dxfId="2378" priority="542" operator="greaterThan">
      <formula>1.67</formula>
    </cfRule>
    <cfRule type="cellIs" dxfId="2377" priority="543" operator="lessThan">
      <formula>1.68</formula>
    </cfRule>
  </conditionalFormatting>
  <conditionalFormatting sqref="L41">
    <cfRule type="cellIs" dxfId="2376" priority="540" operator="lessThan">
      <formula>0.4</formula>
    </cfRule>
    <cfRule type="cellIs" dxfId="2375" priority="541" operator="greaterThan">
      <formula>0.399</formula>
    </cfRule>
  </conditionalFormatting>
  <conditionalFormatting sqref="L42">
    <cfRule type="cellIs" dxfId="2374" priority="537" operator="equal">
      <formula>0.8</formula>
    </cfRule>
    <cfRule type="cellIs" dxfId="2373" priority="538" operator="lessThan">
      <formula>0.8</formula>
    </cfRule>
    <cfRule type="cellIs" dxfId="2372" priority="539" operator="greaterThan">
      <formula>0.8</formula>
    </cfRule>
  </conditionalFormatting>
  <conditionalFormatting sqref="K43:L43">
    <cfRule type="cellIs" dxfId="2371" priority="535" operator="greaterThan">
      <formula>42</formula>
    </cfRule>
    <cfRule type="cellIs" dxfId="2370" priority="536" operator="lessThan">
      <formula>43</formula>
    </cfRule>
  </conditionalFormatting>
  <conditionalFormatting sqref="K44:L44">
    <cfRule type="cellIs" dxfId="2369" priority="533" operator="greaterThan">
      <formula>46</formula>
    </cfRule>
    <cfRule type="cellIs" dxfId="2368" priority="534" operator="lessThan">
      <formula>47</formula>
    </cfRule>
  </conditionalFormatting>
  <conditionalFormatting sqref="L46">
    <cfRule type="cellIs" dxfId="2367" priority="531" operator="lessThan">
      <formula>19</formula>
    </cfRule>
    <cfRule type="cellIs" dxfId="2366" priority="532" operator="greaterThan">
      <formula>18</formula>
    </cfRule>
  </conditionalFormatting>
  <conditionalFormatting sqref="L47">
    <cfRule type="cellIs" dxfId="2365" priority="529" operator="lessThan">
      <formula>45</formula>
    </cfRule>
    <cfRule type="cellIs" dxfId="2364" priority="530" operator="greaterThan">
      <formula>44</formula>
    </cfRule>
  </conditionalFormatting>
  <conditionalFormatting sqref="L48">
    <cfRule type="cellIs" dxfId="2363" priority="527" operator="lessThan">
      <formula>15</formula>
    </cfRule>
    <cfRule type="cellIs" dxfId="2362" priority="528" operator="greaterThan">
      <formula>14</formula>
    </cfRule>
  </conditionalFormatting>
  <conditionalFormatting sqref="L49">
    <cfRule type="cellIs" dxfId="2361" priority="525" operator="lessThan">
      <formula>44</formula>
    </cfRule>
    <cfRule type="cellIs" dxfId="2360" priority="526" operator="greaterThan">
      <formula>44</formula>
    </cfRule>
  </conditionalFormatting>
  <conditionalFormatting sqref="L52:L53">
    <cfRule type="cellIs" dxfId="2359" priority="523" operator="lessThan">
      <formula>240</formula>
    </cfRule>
    <cfRule type="cellIs" dxfId="2358" priority="524" operator="greaterThan">
      <formula>239</formula>
    </cfRule>
  </conditionalFormatting>
  <conditionalFormatting sqref="L56">
    <cfRule type="cellIs" dxfId="2357" priority="521" operator="lessThan">
      <formula>4.1</formula>
    </cfRule>
    <cfRule type="cellIs" dxfId="2356" priority="522" operator="greaterThan">
      <formula>4.09</formula>
    </cfRule>
  </conditionalFormatting>
  <conditionalFormatting sqref="L58:L59">
    <cfRule type="cellIs" dxfId="2355" priority="519" operator="lessThan">
      <formula>0.81</formula>
    </cfRule>
    <cfRule type="cellIs" dxfId="2354" priority="520" operator="greaterThan">
      <formula>0.8</formula>
    </cfRule>
  </conditionalFormatting>
  <conditionalFormatting sqref="K4:K7">
    <cfRule type="cellIs" dxfId="2353" priority="518" operator="lessThan">
      <formula>4</formula>
    </cfRule>
  </conditionalFormatting>
  <conditionalFormatting sqref="K4:K7">
    <cfRule type="cellIs" dxfId="2352" priority="517" operator="greaterThan">
      <formula>3.9</formula>
    </cfRule>
  </conditionalFormatting>
  <conditionalFormatting sqref="K8">
    <cfRule type="cellIs" dxfId="2351" priority="514" operator="greaterThan">
      <formula>1.9</formula>
    </cfRule>
    <cfRule type="cellIs" dxfId="2350" priority="516" operator="lessThan">
      <formula>2</formula>
    </cfRule>
  </conditionalFormatting>
  <conditionalFormatting sqref="K9:K10">
    <cfRule type="cellIs" dxfId="2349" priority="513" operator="greaterThan">
      <formula>2.9</formula>
    </cfRule>
    <cfRule type="cellIs" dxfId="2348" priority="515" operator="lessThan">
      <formula>3</formula>
    </cfRule>
  </conditionalFormatting>
  <conditionalFormatting sqref="I4:J7 F4:H6 E4:E5">
    <cfRule type="cellIs" dxfId="2347" priority="512" operator="lessThan">
      <formula>4</formula>
    </cfRule>
  </conditionalFormatting>
  <conditionalFormatting sqref="I4:J7 F4:H6 E4:E5">
    <cfRule type="cellIs" dxfId="2346" priority="511" operator="greaterThan">
      <formula>3.9</formula>
    </cfRule>
  </conditionalFormatting>
  <conditionalFormatting sqref="J8">
    <cfRule type="cellIs" dxfId="2345" priority="508" operator="greaterThan">
      <formula>1.9</formula>
    </cfRule>
    <cfRule type="cellIs" dxfId="2344" priority="510" operator="lessThan">
      <formula>2</formula>
    </cfRule>
  </conditionalFormatting>
  <conditionalFormatting sqref="J9:J10">
    <cfRule type="cellIs" dxfId="2343" priority="507" operator="greaterThan">
      <formula>2.9</formula>
    </cfRule>
    <cfRule type="cellIs" dxfId="2342" priority="509" operator="lessThan">
      <formula>3</formula>
    </cfRule>
  </conditionalFormatting>
  <conditionalFormatting sqref="F12">
    <cfRule type="cellIs" dxfId="2341" priority="505" operator="lessThan">
      <formula>2.9</formula>
    </cfRule>
    <cfRule type="cellIs" dxfId="2340" priority="506" operator="greaterThan">
      <formula>2.9</formula>
    </cfRule>
  </conditionalFormatting>
  <conditionalFormatting sqref="F13">
    <cfRule type="cellIs" dxfId="2339" priority="503" operator="lessThan">
      <formula>2.9</formula>
    </cfRule>
    <cfRule type="cellIs" dxfId="2338" priority="504" operator="greaterThan">
      <formula>2.9</formula>
    </cfRule>
  </conditionalFormatting>
  <conditionalFormatting sqref="K15">
    <cfRule type="cellIs" dxfId="2337" priority="501" operator="lessThan">
      <formula>2.9</formula>
    </cfRule>
    <cfRule type="cellIs" dxfId="2336" priority="502" operator="greaterThan">
      <formula>2.9</formula>
    </cfRule>
  </conditionalFormatting>
  <conditionalFormatting sqref="J14">
    <cfRule type="cellIs" dxfId="2335" priority="499" operator="lessThan">
      <formula>2.9</formula>
    </cfRule>
    <cfRule type="cellIs" dxfId="2334" priority="500" operator="greaterThan">
      <formula>2.9</formula>
    </cfRule>
  </conditionalFormatting>
  <conditionalFormatting sqref="I16:K16 J15 I14:I15 I17:J20 K17:K21">
    <cfRule type="cellIs" dxfId="2333" priority="497" operator="lessThan">
      <formula>1.9</formula>
    </cfRule>
    <cfRule type="cellIs" dxfId="2332" priority="498" operator="greaterThan">
      <formula>1.9</formula>
    </cfRule>
  </conditionalFormatting>
  <conditionalFormatting sqref="G14:H14">
    <cfRule type="cellIs" dxfId="2331" priority="495" operator="lessThan">
      <formula>1.9</formula>
    </cfRule>
    <cfRule type="cellIs" dxfId="2330" priority="496" operator="greaterThan">
      <formula>1.9</formula>
    </cfRule>
  </conditionalFormatting>
  <conditionalFormatting sqref="E6">
    <cfRule type="cellIs" dxfId="2329" priority="493" operator="lessThan">
      <formula>2.9</formula>
    </cfRule>
    <cfRule type="cellIs" dxfId="2328" priority="494" operator="greaterThan">
      <formula>2.9</formula>
    </cfRule>
  </conditionalFormatting>
  <conditionalFormatting sqref="K22">
    <cfRule type="cellIs" dxfId="2327" priority="491" operator="lessThan">
      <formula>2.9</formula>
    </cfRule>
    <cfRule type="cellIs" dxfId="2326" priority="492" operator="greaterThan">
      <formula>2.9</formula>
    </cfRule>
  </conditionalFormatting>
  <conditionalFormatting sqref="H7">
    <cfRule type="cellIs" dxfId="2325" priority="489" operator="lessThan">
      <formula>2.9</formula>
    </cfRule>
    <cfRule type="cellIs" dxfId="2324" priority="490" operator="greaterThan">
      <formula>2.9</formula>
    </cfRule>
  </conditionalFormatting>
  <conditionalFormatting sqref="I22:J22">
    <cfRule type="cellIs" dxfId="2323" priority="487" operator="lessThan">
      <formula>1.9</formula>
    </cfRule>
    <cfRule type="cellIs" dxfId="2322" priority="488" operator="greaterThan">
      <formula>1.9</formula>
    </cfRule>
  </conditionalFormatting>
  <conditionalFormatting sqref="E12:E13">
    <cfRule type="cellIs" dxfId="2321" priority="485" operator="lessThan">
      <formula>1.9</formula>
    </cfRule>
    <cfRule type="cellIs" dxfId="2320" priority="486" operator="greaterThan">
      <formula>1.9</formula>
    </cfRule>
  </conditionalFormatting>
  <conditionalFormatting sqref="G9:I10">
    <cfRule type="cellIs" dxfId="2319" priority="483" operator="lessThan">
      <formula>1.9</formula>
    </cfRule>
    <cfRule type="cellIs" dxfId="2318" priority="484" operator="greaterThan">
      <formula>1.9</formula>
    </cfRule>
  </conditionalFormatting>
  <conditionalFormatting sqref="G7">
    <cfRule type="cellIs" dxfId="2317" priority="481" operator="lessThan">
      <formula>1.9</formula>
    </cfRule>
    <cfRule type="cellIs" dxfId="2316" priority="482" operator="greaterThan">
      <formula>1.9</formula>
    </cfRule>
  </conditionalFormatting>
  <conditionalFormatting sqref="E8:I8 E9:F10 E7:F7">
    <cfRule type="cellIs" dxfId="2315" priority="479" operator="lessThan">
      <formula>1</formula>
    </cfRule>
    <cfRule type="cellIs" dxfId="2314" priority="480" operator="greaterThan">
      <formula>0.9</formula>
    </cfRule>
  </conditionalFormatting>
  <conditionalFormatting sqref="D4:D5">
    <cfRule type="cellIs" dxfId="2313" priority="477" operator="lessThan">
      <formula>2.9</formula>
    </cfRule>
    <cfRule type="cellIs" dxfId="2312" priority="478" operator="greaterThan">
      <formula>2.9</formula>
    </cfRule>
  </conditionalFormatting>
  <conditionalFormatting sqref="C12:D17">
    <cfRule type="cellIs" dxfId="2311" priority="475" operator="lessThan">
      <formula>1</formula>
    </cfRule>
    <cfRule type="cellIs" dxfId="2310" priority="476" operator="greaterThan">
      <formula>0.9</formula>
    </cfRule>
  </conditionalFormatting>
  <conditionalFormatting sqref="E14:E19">
    <cfRule type="cellIs" dxfId="2309" priority="473" operator="lessThan">
      <formula>1</formula>
    </cfRule>
    <cfRule type="cellIs" dxfId="2308" priority="474" operator="greaterThan">
      <formula>0.9</formula>
    </cfRule>
  </conditionalFormatting>
  <conditionalFormatting sqref="F14:F22">
    <cfRule type="cellIs" dxfId="2307" priority="471" operator="lessThan">
      <formula>1</formula>
    </cfRule>
    <cfRule type="cellIs" dxfId="2306" priority="472" operator="greaterThan">
      <formula>0.9</formula>
    </cfRule>
  </conditionalFormatting>
  <conditionalFormatting sqref="G15:G22">
    <cfRule type="cellIs" dxfId="2305" priority="469" operator="lessThan">
      <formula>1</formula>
    </cfRule>
    <cfRule type="cellIs" dxfId="2304" priority="470" operator="greaterThan">
      <formula>0.9</formula>
    </cfRule>
  </conditionalFormatting>
  <conditionalFormatting sqref="H15:H22 I21:J21">
    <cfRule type="cellIs" dxfId="2303" priority="467" operator="lessThan">
      <formula>1</formula>
    </cfRule>
    <cfRule type="cellIs" dxfId="2302" priority="468" operator="greaterThan">
      <formula>0.9</formula>
    </cfRule>
  </conditionalFormatting>
  <conditionalFormatting sqref="E20:E22 D18:D22">
    <cfRule type="cellIs" dxfId="2301" priority="466" operator="greaterThan">
      <formula>0</formula>
    </cfRule>
  </conditionalFormatting>
  <conditionalFormatting sqref="E20:E22 D18:D22">
    <cfRule type="cellIs" dxfId="2300" priority="465" operator="equal">
      <formula>0</formula>
    </cfRule>
  </conditionalFormatting>
  <conditionalFormatting sqref="C18:C22">
    <cfRule type="cellIs" dxfId="2299" priority="464" operator="greaterThan">
      <formula>0</formula>
    </cfRule>
  </conditionalFormatting>
  <conditionalFormatting sqref="C18:C22">
    <cfRule type="cellIs" dxfId="2298" priority="463" operator="equal">
      <formula>0</formula>
    </cfRule>
  </conditionalFormatting>
  <conditionalFormatting sqref="D9:D10">
    <cfRule type="cellIs" dxfId="2297" priority="461" operator="lessThan">
      <formula>1</formula>
    </cfRule>
    <cfRule type="cellIs" dxfId="2296" priority="462" operator="greaterThan">
      <formula>0.9</formula>
    </cfRule>
  </conditionalFormatting>
  <conditionalFormatting sqref="D24:D25 E25">
    <cfRule type="cellIs" dxfId="2295" priority="460" operator="greaterThan">
      <formula>0</formula>
    </cfRule>
  </conditionalFormatting>
  <conditionalFormatting sqref="D24:D25 E25">
    <cfRule type="cellIs" dxfId="2294" priority="459" operator="equal">
      <formula>0</formula>
    </cfRule>
  </conditionalFormatting>
  <conditionalFormatting sqref="E24">
    <cfRule type="cellIs" dxfId="2293" priority="457" operator="lessThan">
      <formula>1</formula>
    </cfRule>
    <cfRule type="cellIs" dxfId="2292" priority="458" operator="greaterThan">
      <formula>0.9</formula>
    </cfRule>
  </conditionalFormatting>
  <conditionalFormatting sqref="F24">
    <cfRule type="cellIs" dxfId="2291" priority="455" operator="lessThan">
      <formula>1.9</formula>
    </cfRule>
    <cfRule type="cellIs" dxfId="2290" priority="456" operator="greaterThan">
      <formula>1.9</formula>
    </cfRule>
  </conditionalFormatting>
  <conditionalFormatting sqref="G24:H25 I25:J25">
    <cfRule type="cellIs" dxfId="2289" priority="453" operator="lessThan">
      <formula>1.9</formula>
    </cfRule>
    <cfRule type="cellIs" dxfId="2288" priority="454" operator="greaterThan">
      <formula>1.9</formula>
    </cfRule>
  </conditionalFormatting>
  <conditionalFormatting sqref="C24">
    <cfRule type="cellIs" dxfId="2287" priority="452" operator="greaterThan">
      <formula>0</formula>
    </cfRule>
  </conditionalFormatting>
  <conditionalFormatting sqref="C24">
    <cfRule type="cellIs" dxfId="2286" priority="451" operator="equal">
      <formula>0</formula>
    </cfRule>
  </conditionalFormatting>
  <conditionalFormatting sqref="C25">
    <cfRule type="cellIs" dxfId="2285" priority="450" operator="greaterThan">
      <formula>0</formula>
    </cfRule>
  </conditionalFormatting>
  <conditionalFormatting sqref="C25">
    <cfRule type="cellIs" dxfId="2284" priority="449" operator="equal">
      <formula>0</formula>
    </cfRule>
  </conditionalFormatting>
  <conditionalFormatting sqref="I24">
    <cfRule type="cellIs" dxfId="2283" priority="447" operator="lessThan">
      <formula>2.9</formula>
    </cfRule>
    <cfRule type="cellIs" dxfId="2282" priority="448" operator="greaterThan">
      <formula>2.9</formula>
    </cfRule>
  </conditionalFormatting>
  <conditionalFormatting sqref="J24">
    <cfRule type="cellIs" dxfId="2281" priority="445" operator="lessThan">
      <formula>2.9</formula>
    </cfRule>
    <cfRule type="cellIs" dxfId="2280" priority="446" operator="greaterThan">
      <formula>2.9</formula>
    </cfRule>
  </conditionalFormatting>
  <conditionalFormatting sqref="K24">
    <cfRule type="cellIs" dxfId="2279" priority="443" operator="lessThan">
      <formula>2.9</formula>
    </cfRule>
    <cfRule type="cellIs" dxfId="2278" priority="444" operator="greaterThan">
      <formula>2.9</formula>
    </cfRule>
  </conditionalFormatting>
  <conditionalFormatting sqref="F25">
    <cfRule type="cellIs" dxfId="2277" priority="441" operator="lessThan">
      <formula>1</formula>
    </cfRule>
    <cfRule type="cellIs" dxfId="2276" priority="442" operator="greaterThan">
      <formula>0.9</formula>
    </cfRule>
  </conditionalFormatting>
  <conditionalFormatting sqref="K25">
    <cfRule type="cellIs" dxfId="2275" priority="439" operator="lessThan">
      <formula>2.9</formula>
    </cfRule>
    <cfRule type="cellIs" dxfId="2274" priority="440" operator="greaterThan">
      <formula>2.9</formula>
    </cfRule>
  </conditionalFormatting>
  <conditionalFormatting sqref="D27">
    <cfRule type="cellIs" dxfId="2273" priority="437" operator="lessThan">
      <formula>1</formula>
    </cfRule>
    <cfRule type="cellIs" dxfId="2272" priority="438" operator="greaterThan">
      <formula>0.9</formula>
    </cfRule>
  </conditionalFormatting>
  <conditionalFormatting sqref="D28">
    <cfRule type="cellIs" dxfId="2271" priority="435" operator="lessThan">
      <formula>1</formula>
    </cfRule>
    <cfRule type="cellIs" dxfId="2270" priority="436" operator="greaterThan">
      <formula>0.9</formula>
    </cfRule>
  </conditionalFormatting>
  <conditionalFormatting sqref="D29">
    <cfRule type="cellIs" dxfId="2269" priority="433" operator="lessThan">
      <formula>1</formula>
    </cfRule>
    <cfRule type="cellIs" dxfId="2268" priority="434" operator="greaterThan">
      <formula>0.9</formula>
    </cfRule>
  </conditionalFormatting>
  <conditionalFormatting sqref="E29">
    <cfRule type="cellIs" dxfId="2267" priority="431" operator="lessThan">
      <formula>1</formula>
    </cfRule>
    <cfRule type="cellIs" dxfId="2266" priority="432" operator="greaterThan">
      <formula>0.9</formula>
    </cfRule>
  </conditionalFormatting>
  <conditionalFormatting sqref="E28">
    <cfRule type="cellIs" dxfId="2265" priority="429" operator="lessThan">
      <formula>1</formula>
    </cfRule>
    <cfRule type="cellIs" dxfId="2264" priority="430" operator="greaterThan">
      <formula>0.9</formula>
    </cfRule>
  </conditionalFormatting>
  <conditionalFormatting sqref="E27">
    <cfRule type="cellIs" dxfId="2263" priority="427" operator="lessThan">
      <formula>1</formula>
    </cfRule>
    <cfRule type="cellIs" dxfId="2262" priority="428" operator="greaterThan">
      <formula>0.9</formula>
    </cfRule>
  </conditionalFormatting>
  <conditionalFormatting sqref="F27">
    <cfRule type="cellIs" dxfId="2261" priority="425" operator="lessThan">
      <formula>1</formula>
    </cfRule>
    <cfRule type="cellIs" dxfId="2260" priority="426" operator="greaterThan">
      <formula>0.9</formula>
    </cfRule>
  </conditionalFormatting>
  <conditionalFormatting sqref="F28">
    <cfRule type="cellIs" dxfId="2259" priority="423" operator="lessThan">
      <formula>1</formula>
    </cfRule>
    <cfRule type="cellIs" dxfId="2258" priority="424" operator="greaterThan">
      <formula>0.9</formula>
    </cfRule>
  </conditionalFormatting>
  <conditionalFormatting sqref="F29">
    <cfRule type="cellIs" dxfId="2257" priority="421" operator="lessThan">
      <formula>1</formula>
    </cfRule>
    <cfRule type="cellIs" dxfId="2256" priority="422" operator="greaterThan">
      <formula>0.9</formula>
    </cfRule>
  </conditionalFormatting>
  <conditionalFormatting sqref="F30">
    <cfRule type="cellIs" dxfId="2255" priority="419" operator="lessThan">
      <formula>1</formula>
    </cfRule>
    <cfRule type="cellIs" dxfId="2254" priority="420" operator="greaterThan">
      <formula>0.9</formula>
    </cfRule>
  </conditionalFormatting>
  <conditionalFormatting sqref="F31">
    <cfRule type="cellIs" dxfId="2253" priority="417" operator="lessThan">
      <formula>1</formula>
    </cfRule>
    <cfRule type="cellIs" dxfId="2252" priority="418" operator="greaterThan">
      <formula>0.9</formula>
    </cfRule>
  </conditionalFormatting>
  <conditionalFormatting sqref="F32">
    <cfRule type="cellIs" dxfId="2251" priority="415" operator="lessThan">
      <formula>1</formula>
    </cfRule>
    <cfRule type="cellIs" dxfId="2250" priority="416" operator="greaterThan">
      <formula>0.9</formula>
    </cfRule>
  </conditionalFormatting>
  <conditionalFormatting sqref="F33:F34">
    <cfRule type="cellIs" dxfId="2249" priority="413" operator="lessThan">
      <formula>1</formula>
    </cfRule>
    <cfRule type="cellIs" dxfId="2248" priority="414" operator="greaterThan">
      <formula>0.9</formula>
    </cfRule>
  </conditionalFormatting>
  <conditionalFormatting sqref="C27">
    <cfRule type="cellIs" dxfId="2247" priority="411" operator="lessThan">
      <formula>1</formula>
    </cfRule>
    <cfRule type="cellIs" dxfId="2246" priority="412" operator="greaterThan">
      <formula>0.9</formula>
    </cfRule>
  </conditionalFormatting>
  <conditionalFormatting sqref="C28">
    <cfRule type="cellIs" dxfId="2245" priority="409" operator="lessThan">
      <formula>1</formula>
    </cfRule>
    <cfRule type="cellIs" dxfId="2244" priority="410" operator="greaterThan">
      <formula>0.9</formula>
    </cfRule>
  </conditionalFormatting>
  <conditionalFormatting sqref="C29">
    <cfRule type="cellIs" dxfId="2243" priority="407" operator="lessThan">
      <formula>1</formula>
    </cfRule>
    <cfRule type="cellIs" dxfId="2242" priority="408" operator="greaterThan">
      <formula>0.9</formula>
    </cfRule>
  </conditionalFormatting>
  <conditionalFormatting sqref="C30:C34">
    <cfRule type="cellIs" dxfId="2241" priority="406" operator="greaterThan">
      <formula>0</formula>
    </cfRule>
  </conditionalFormatting>
  <conditionalFormatting sqref="C30:C34">
    <cfRule type="cellIs" dxfId="2240" priority="405" operator="equal">
      <formula>0</formula>
    </cfRule>
  </conditionalFormatting>
  <conditionalFormatting sqref="D30">
    <cfRule type="cellIs" dxfId="2239" priority="404" operator="greaterThan">
      <formula>0</formula>
    </cfRule>
  </conditionalFormatting>
  <conditionalFormatting sqref="D30">
    <cfRule type="cellIs" dxfId="2238" priority="403" operator="equal">
      <formula>0</formula>
    </cfRule>
  </conditionalFormatting>
  <conditionalFormatting sqref="D31">
    <cfRule type="cellIs" dxfId="2237" priority="402" operator="greaterThan">
      <formula>0</formula>
    </cfRule>
  </conditionalFormatting>
  <conditionalFormatting sqref="D31">
    <cfRule type="cellIs" dxfId="2236" priority="401" operator="equal">
      <formula>0</formula>
    </cfRule>
  </conditionalFormatting>
  <conditionalFormatting sqref="D32">
    <cfRule type="cellIs" dxfId="2235" priority="400" operator="greaterThan">
      <formula>0</formula>
    </cfRule>
  </conditionalFormatting>
  <conditionalFormatting sqref="D32">
    <cfRule type="cellIs" dxfId="2234" priority="399" operator="equal">
      <formula>0</formula>
    </cfRule>
  </conditionalFormatting>
  <conditionalFormatting sqref="D33">
    <cfRule type="cellIs" dxfId="2233" priority="398" operator="greaterThan">
      <formula>0</formula>
    </cfRule>
  </conditionalFormatting>
  <conditionalFormatting sqref="D33">
    <cfRule type="cellIs" dxfId="2232" priority="397" operator="equal">
      <formula>0</formula>
    </cfRule>
  </conditionalFormatting>
  <conditionalFormatting sqref="D34">
    <cfRule type="cellIs" dxfId="2231" priority="396" operator="greaterThan">
      <formula>0</formula>
    </cfRule>
  </conditionalFormatting>
  <conditionalFormatting sqref="D34">
    <cfRule type="cellIs" dxfId="2230" priority="395" operator="equal">
      <formula>0</formula>
    </cfRule>
  </conditionalFormatting>
  <conditionalFormatting sqref="E30">
    <cfRule type="cellIs" dxfId="2229" priority="394" operator="greaterThan">
      <formula>0</formula>
    </cfRule>
  </conditionalFormatting>
  <conditionalFormatting sqref="E30">
    <cfRule type="cellIs" dxfId="2228" priority="393" operator="equal">
      <formula>0</formula>
    </cfRule>
  </conditionalFormatting>
  <conditionalFormatting sqref="E31">
    <cfRule type="cellIs" dxfId="2227" priority="392" operator="greaterThan">
      <formula>0</formula>
    </cfRule>
  </conditionalFormatting>
  <conditionalFormatting sqref="E31">
    <cfRule type="cellIs" dxfId="2226" priority="391" operator="equal">
      <formula>0</formula>
    </cfRule>
  </conditionalFormatting>
  <conditionalFormatting sqref="E32">
    <cfRule type="cellIs" dxfId="2225" priority="390" operator="greaterThan">
      <formula>0</formula>
    </cfRule>
  </conditionalFormatting>
  <conditionalFormatting sqref="E32">
    <cfRule type="cellIs" dxfId="2224" priority="389" operator="equal">
      <formula>0</formula>
    </cfRule>
  </conditionalFormatting>
  <conditionalFormatting sqref="E33">
    <cfRule type="cellIs" dxfId="2223" priority="388" operator="greaterThan">
      <formula>0</formula>
    </cfRule>
  </conditionalFormatting>
  <conditionalFormatting sqref="E33">
    <cfRule type="cellIs" dxfId="2222" priority="387" operator="equal">
      <formula>0</formula>
    </cfRule>
  </conditionalFormatting>
  <conditionalFormatting sqref="E34">
    <cfRule type="cellIs" dxfId="2221" priority="386" operator="greaterThan">
      <formula>0</formula>
    </cfRule>
  </conditionalFormatting>
  <conditionalFormatting sqref="E34">
    <cfRule type="cellIs" dxfId="2220" priority="385" operator="equal">
      <formula>0</formula>
    </cfRule>
  </conditionalFormatting>
  <conditionalFormatting sqref="G27">
    <cfRule type="cellIs" dxfId="2219" priority="383" operator="lessThan">
      <formula>1.9</formula>
    </cfRule>
    <cfRule type="cellIs" dxfId="2218" priority="384" operator="greaterThan">
      <formula>1.9</formula>
    </cfRule>
  </conditionalFormatting>
  <conditionalFormatting sqref="G28">
    <cfRule type="cellIs" dxfId="2217" priority="381" operator="lessThan">
      <formula>1.9</formula>
    </cfRule>
    <cfRule type="cellIs" dxfId="2216" priority="382" operator="greaterThan">
      <formula>1.9</formula>
    </cfRule>
  </conditionalFormatting>
  <conditionalFormatting sqref="G29">
    <cfRule type="cellIs" dxfId="2215" priority="379" operator="lessThan">
      <formula>1.9</formula>
    </cfRule>
    <cfRule type="cellIs" dxfId="2214" priority="380" operator="greaterThan">
      <formula>1.9</formula>
    </cfRule>
  </conditionalFormatting>
  <conditionalFormatting sqref="G30">
    <cfRule type="cellIs" dxfId="2213" priority="377" operator="lessThan">
      <formula>1.9</formula>
    </cfRule>
    <cfRule type="cellIs" dxfId="2212" priority="378" operator="greaterThan">
      <formula>1.9</formula>
    </cfRule>
  </conditionalFormatting>
  <conditionalFormatting sqref="G31">
    <cfRule type="cellIs" dxfId="2211" priority="375" operator="lessThan">
      <formula>1.9</formula>
    </cfRule>
    <cfRule type="cellIs" dxfId="2210" priority="376" operator="greaterThan">
      <formula>1.9</formula>
    </cfRule>
  </conditionalFormatting>
  <conditionalFormatting sqref="G32">
    <cfRule type="cellIs" dxfId="2209" priority="373" operator="lessThan">
      <formula>1.9</formula>
    </cfRule>
    <cfRule type="cellIs" dxfId="2208" priority="374" operator="greaterThan">
      <formula>1.9</formula>
    </cfRule>
  </conditionalFormatting>
  <conditionalFormatting sqref="G33:G34">
    <cfRule type="cellIs" dxfId="2207" priority="371" operator="lessThan">
      <formula>1.9</formula>
    </cfRule>
    <cfRule type="cellIs" dxfId="2206" priority="372" operator="greaterThan">
      <formula>1.9</formula>
    </cfRule>
  </conditionalFormatting>
  <conditionalFormatting sqref="H27:H33">
    <cfRule type="cellIs" dxfId="2205" priority="369" operator="lessThan">
      <formula>1.9</formula>
    </cfRule>
    <cfRule type="cellIs" dxfId="2204" priority="370" operator="greaterThan">
      <formula>1.9</formula>
    </cfRule>
  </conditionalFormatting>
  <conditionalFormatting sqref="I30">
    <cfRule type="cellIs" dxfId="2203" priority="367" operator="lessThan">
      <formula>1.9</formula>
    </cfRule>
    <cfRule type="cellIs" dxfId="2202" priority="368" operator="greaterThan">
      <formula>1.9</formula>
    </cfRule>
  </conditionalFormatting>
  <conditionalFormatting sqref="I31">
    <cfRule type="cellIs" dxfId="2201" priority="365" operator="lessThan">
      <formula>1.9</formula>
    </cfRule>
    <cfRule type="cellIs" dxfId="2200" priority="366" operator="greaterThan">
      <formula>1.9</formula>
    </cfRule>
  </conditionalFormatting>
  <conditionalFormatting sqref="I32">
    <cfRule type="cellIs" dxfId="2199" priority="363" operator="lessThan">
      <formula>1.9</formula>
    </cfRule>
    <cfRule type="cellIs" dxfId="2198" priority="364" operator="greaterThan">
      <formula>1.9</formula>
    </cfRule>
  </conditionalFormatting>
  <conditionalFormatting sqref="I33">
    <cfRule type="cellIs" dxfId="2197" priority="361" operator="lessThan">
      <formula>1.9</formula>
    </cfRule>
    <cfRule type="cellIs" dxfId="2196" priority="362" operator="greaterThan">
      <formula>1.9</formula>
    </cfRule>
  </conditionalFormatting>
  <conditionalFormatting sqref="J27:J29">
    <cfRule type="cellIs" dxfId="2195" priority="359" operator="lessThan">
      <formula>2.9</formula>
    </cfRule>
    <cfRule type="cellIs" dxfId="2194" priority="360" operator="greaterThan">
      <formula>2.9</formula>
    </cfRule>
  </conditionalFormatting>
  <conditionalFormatting sqref="J30">
    <cfRule type="cellIs" dxfId="2193" priority="357" operator="lessThan">
      <formula>1.9</formula>
    </cfRule>
    <cfRule type="cellIs" dxfId="2192" priority="358" operator="greaterThan">
      <formula>1.9</formula>
    </cfRule>
  </conditionalFormatting>
  <conditionalFormatting sqref="J31">
    <cfRule type="cellIs" dxfId="2191" priority="355" operator="lessThan">
      <formula>1.9</formula>
    </cfRule>
    <cfRule type="cellIs" dxfId="2190" priority="356" operator="greaterThan">
      <formula>1.9</formula>
    </cfRule>
  </conditionalFormatting>
  <conditionalFormatting sqref="J32">
    <cfRule type="cellIs" dxfId="2189" priority="353" operator="lessThan">
      <formula>1.9</formula>
    </cfRule>
    <cfRule type="cellIs" dxfId="2188" priority="354" operator="greaterThan">
      <formula>1.9</formula>
    </cfRule>
  </conditionalFormatting>
  <conditionalFormatting sqref="J33">
    <cfRule type="cellIs" dxfId="2187" priority="351" operator="lessThan">
      <formula>1.9</formula>
    </cfRule>
    <cfRule type="cellIs" dxfId="2186" priority="352" operator="greaterThan">
      <formula>1.9</formula>
    </cfRule>
  </conditionalFormatting>
  <conditionalFormatting sqref="K27">
    <cfRule type="cellIs" dxfId="2185" priority="349" operator="lessThan">
      <formula>3.9</formula>
    </cfRule>
    <cfRule type="cellIs" dxfId="2184" priority="350" operator="greaterThan">
      <formula>3.9</formula>
    </cfRule>
  </conditionalFormatting>
  <conditionalFormatting sqref="K28">
    <cfRule type="cellIs" dxfId="2183" priority="347" operator="lessThan">
      <formula>3.9</formula>
    </cfRule>
    <cfRule type="cellIs" dxfId="2182" priority="348" operator="greaterThan">
      <formula>3.9</formula>
    </cfRule>
  </conditionalFormatting>
  <conditionalFormatting sqref="K29">
    <cfRule type="cellIs" dxfId="2181" priority="345" operator="lessThan">
      <formula>3.9</formula>
    </cfRule>
    <cfRule type="cellIs" dxfId="2180" priority="346" operator="greaterThan">
      <formula>3.9</formula>
    </cfRule>
  </conditionalFormatting>
  <conditionalFormatting sqref="K30">
    <cfRule type="cellIs" dxfId="2179" priority="343" operator="lessThan">
      <formula>2.9</formula>
    </cfRule>
    <cfRule type="cellIs" dxfId="2178" priority="344" operator="greaterThan">
      <formula>2.9</formula>
    </cfRule>
  </conditionalFormatting>
  <conditionalFormatting sqref="K31">
    <cfRule type="cellIs" dxfId="2177" priority="341" operator="lessThan">
      <formula>2.9</formula>
    </cfRule>
    <cfRule type="cellIs" dxfId="2176" priority="342" operator="greaterThan">
      <formula>2.9</formula>
    </cfRule>
  </conditionalFormatting>
  <conditionalFormatting sqref="K32">
    <cfRule type="cellIs" dxfId="2175" priority="339" operator="lessThan">
      <formula>2.9</formula>
    </cfRule>
    <cfRule type="cellIs" dxfId="2174" priority="340" operator="greaterThan">
      <formula>2.9</formula>
    </cfRule>
  </conditionalFormatting>
  <conditionalFormatting sqref="K33">
    <cfRule type="cellIs" dxfId="2173" priority="337" operator="lessThan">
      <formula>2.9</formula>
    </cfRule>
    <cfRule type="cellIs" dxfId="2172" priority="338" operator="greaterThan">
      <formula>2.9</formula>
    </cfRule>
  </conditionalFormatting>
  <conditionalFormatting sqref="I27:I29">
    <cfRule type="cellIs" dxfId="2171" priority="335" operator="lessThan">
      <formula>2.9</formula>
    </cfRule>
    <cfRule type="cellIs" dxfId="2170" priority="336" operator="greaterThan">
      <formula>2.9</formula>
    </cfRule>
  </conditionalFormatting>
  <conditionalFormatting sqref="K34">
    <cfRule type="cellIs" dxfId="2169" priority="333" operator="lessThan">
      <formula>6.9</formula>
    </cfRule>
    <cfRule type="cellIs" dxfId="2168" priority="334" operator="greaterThan">
      <formula>6.9</formula>
    </cfRule>
  </conditionalFormatting>
  <conditionalFormatting sqref="H34">
    <cfRule type="cellIs" dxfId="2167" priority="331" operator="lessThan">
      <formula>3.9</formula>
    </cfRule>
    <cfRule type="cellIs" dxfId="2166" priority="332" operator="greaterThan">
      <formula>3.9</formula>
    </cfRule>
  </conditionalFormatting>
  <conditionalFormatting sqref="I34">
    <cfRule type="cellIs" dxfId="2165" priority="329" operator="lessThan">
      <formula>4.9</formula>
    </cfRule>
    <cfRule type="cellIs" dxfId="2164" priority="330" operator="greaterThan">
      <formula>4.9</formula>
    </cfRule>
  </conditionalFormatting>
  <conditionalFormatting sqref="J34">
    <cfRule type="cellIs" dxfId="2163" priority="327" operator="lessThan">
      <formula>6</formula>
    </cfRule>
    <cfRule type="cellIs" dxfId="2162" priority="328" operator="greaterThan">
      <formula>5.9</formula>
    </cfRule>
  </conditionalFormatting>
  <conditionalFormatting sqref="K58:K59">
    <cfRule type="cellIs" dxfId="2161" priority="324" operator="lessThan">
      <formula>0.76</formula>
    </cfRule>
    <cfRule type="cellIs" dxfId="2160" priority="325" operator="greaterThan">
      <formula>0.75</formula>
    </cfRule>
    <cfRule type="cellIs" dxfId="2159" priority="326" operator="greaterThan">
      <formula>75</formula>
    </cfRule>
  </conditionalFormatting>
  <conditionalFormatting sqref="H58:J59">
    <cfRule type="cellIs" dxfId="2158" priority="322" operator="lessThan">
      <formula>0.71</formula>
    </cfRule>
    <cfRule type="cellIs" dxfId="2157" priority="323" operator="greaterThan">
      <formula>0.7</formula>
    </cfRule>
  </conditionalFormatting>
  <conditionalFormatting sqref="F58:G59">
    <cfRule type="cellIs" dxfId="2156" priority="320" operator="lessThan">
      <formula>0.66</formula>
    </cfRule>
    <cfRule type="cellIs" dxfId="2155" priority="321" operator="greaterThan">
      <formula>0.65</formula>
    </cfRule>
  </conditionalFormatting>
  <conditionalFormatting sqref="E58:E59">
    <cfRule type="cellIs" dxfId="2154" priority="318" operator="lessThan">
      <formula>0.61</formula>
    </cfRule>
    <cfRule type="cellIs" dxfId="2153" priority="319" operator="greaterThan">
      <formula>0.6</formula>
    </cfRule>
  </conditionalFormatting>
  <conditionalFormatting sqref="C58:D59">
    <cfRule type="cellIs" dxfId="2152" priority="316" operator="lessThan">
      <formula>0.51</formula>
    </cfRule>
    <cfRule type="cellIs" dxfId="2151" priority="317" operator="greaterThan">
      <formula>0.5</formula>
    </cfRule>
  </conditionalFormatting>
  <conditionalFormatting sqref="K47">
    <cfRule type="cellIs" dxfId="2150" priority="313" operator="greaterThan">
      <formula>39.9</formula>
    </cfRule>
    <cfRule type="cellIs" dxfId="2149" priority="314" operator="lessThan">
      <formula>40</formula>
    </cfRule>
    <cfRule type="cellIs" dxfId="2148" priority="315" operator="greaterThan">
      <formula>40</formula>
    </cfRule>
  </conditionalFormatting>
  <conditionalFormatting sqref="K48">
    <cfRule type="cellIs" dxfId="2147" priority="311" operator="lessThan">
      <formula>9.9</formula>
    </cfRule>
    <cfRule type="cellIs" dxfId="2146" priority="312" operator="greaterThan">
      <formula>9.9</formula>
    </cfRule>
  </conditionalFormatting>
  <conditionalFormatting sqref="K46">
    <cfRule type="cellIs" dxfId="2145" priority="309" operator="lessThan">
      <formula>17.9</formula>
    </cfRule>
    <cfRule type="cellIs" dxfId="2144" priority="310" operator="greaterThan">
      <formula>17.9</formula>
    </cfRule>
  </conditionalFormatting>
  <conditionalFormatting sqref="K49">
    <cfRule type="cellIs" dxfId="2143" priority="307" operator="lessThan">
      <formula>39.9</formula>
    </cfRule>
    <cfRule type="cellIs" dxfId="2142" priority="308" operator="greaterThan">
      <formula>39.9</formula>
    </cfRule>
  </conditionalFormatting>
  <conditionalFormatting sqref="K52:K53">
    <cfRule type="cellIs" dxfId="2141" priority="305" operator="lessThan">
      <formula>215.9</formula>
    </cfRule>
    <cfRule type="cellIs" dxfId="2140" priority="306" operator="greaterThan">
      <formula>215.9</formula>
    </cfRule>
  </conditionalFormatting>
  <conditionalFormatting sqref="K56">
    <cfRule type="cellIs" dxfId="2139" priority="301" operator="lessThan">
      <formula>4.27</formula>
    </cfRule>
    <cfRule type="cellIs" dxfId="2138" priority="302" operator="greaterThan">
      <formula>4.27</formula>
    </cfRule>
    <cfRule type="cellIs" dxfId="2137" priority="303" operator="lessThan">
      <formula>4.28</formula>
    </cfRule>
    <cfRule type="cellIs" dxfId="2136" priority="304" operator="greaterThan">
      <formula>4.28</formula>
    </cfRule>
  </conditionalFormatting>
  <conditionalFormatting sqref="I46:J46">
    <cfRule type="cellIs" dxfId="2135" priority="297" operator="lessThan">
      <formula>16.9</formula>
    </cfRule>
    <cfRule type="cellIs" dxfId="2134" priority="298" operator="greaterThan">
      <formula>16.9</formula>
    </cfRule>
    <cfRule type="cellIs" dxfId="2133" priority="299" operator="greaterThan">
      <formula>16</formula>
    </cfRule>
    <cfRule type="cellIs" dxfId="2132" priority="300" operator="greaterThan">
      <formula>16</formula>
    </cfRule>
  </conditionalFormatting>
  <conditionalFormatting sqref="J47">
    <cfRule type="cellIs" dxfId="2131" priority="293" operator="lessThan">
      <formula>34.9</formula>
    </cfRule>
    <cfRule type="cellIs" dxfId="2130" priority="294" operator="greaterThan">
      <formula>34.9</formula>
    </cfRule>
    <cfRule type="cellIs" dxfId="2129" priority="295" operator="greaterThan">
      <formula>34.9</formula>
    </cfRule>
    <cfRule type="cellIs" dxfId="2128" priority="296" operator="greaterThan">
      <formula>34.9</formula>
    </cfRule>
  </conditionalFormatting>
  <conditionalFormatting sqref="J48">
    <cfRule type="cellIs" dxfId="2127" priority="291" operator="lessThan">
      <formula>7.9</formula>
    </cfRule>
    <cfRule type="cellIs" dxfId="2126" priority="292" operator="greaterThan">
      <formula>7.9</formula>
    </cfRule>
  </conditionalFormatting>
  <conditionalFormatting sqref="J49">
    <cfRule type="cellIs" dxfId="2125" priority="289" operator="lessThan">
      <formula>34.9</formula>
    </cfRule>
    <cfRule type="cellIs" dxfId="2124" priority="290" operator="greaterThan">
      <formula>34.9</formula>
    </cfRule>
  </conditionalFormatting>
  <conditionalFormatting sqref="J52:J53">
    <cfRule type="cellIs" dxfId="2123" priority="287" operator="lessThan">
      <formula>191.9</formula>
    </cfRule>
    <cfRule type="cellIs" dxfId="2122" priority="288" operator="greaterThan">
      <formula>191</formula>
    </cfRule>
  </conditionalFormatting>
  <conditionalFormatting sqref="J56">
    <cfRule type="cellIs" dxfId="2121" priority="283" operator="lessThan">
      <formula>4.391</formula>
    </cfRule>
    <cfRule type="cellIs" dxfId="2120" priority="284" operator="greaterThan">
      <formula>4.39</formula>
    </cfRule>
    <cfRule type="cellIs" dxfId="2119" priority="285" operator="lessThan">
      <formula>"4.39.1"</formula>
    </cfRule>
    <cfRule type="cellIs" dxfId="2118" priority="286" operator="greaterThan">
      <formula>4.39</formula>
    </cfRule>
  </conditionalFormatting>
  <conditionalFormatting sqref="I47">
    <cfRule type="cellIs" dxfId="2117" priority="281" operator="lessThan">
      <formula>30</formula>
    </cfRule>
    <cfRule type="cellIs" dxfId="2116" priority="282" operator="greaterThan">
      <formula>29.9</formula>
    </cfRule>
  </conditionalFormatting>
  <conditionalFormatting sqref="I48">
    <cfRule type="cellIs" dxfId="2115" priority="279" operator="lessThan">
      <formula>7</formula>
    </cfRule>
    <cfRule type="cellIs" dxfId="2114" priority="280" operator="greaterThan">
      <formula>6.9</formula>
    </cfRule>
  </conditionalFormatting>
  <conditionalFormatting sqref="I49">
    <cfRule type="cellIs" dxfId="2113" priority="277" operator="lessThan">
      <formula>30</formula>
    </cfRule>
    <cfRule type="cellIs" dxfId="2112" priority="278" operator="greaterThan">
      <formula>29.9</formula>
    </cfRule>
  </conditionalFormatting>
  <conditionalFormatting sqref="I52:I53">
    <cfRule type="cellIs" dxfId="2111" priority="275" operator="lessThan">
      <formula>168</formula>
    </cfRule>
    <cfRule type="cellIs" dxfId="2110" priority="276" operator="greaterThan">
      <formula>167.9</formula>
    </cfRule>
  </conditionalFormatting>
  <conditionalFormatting sqref="I56">
    <cfRule type="cellIs" dxfId="2109" priority="271" operator="greaterThan">
      <formula>4.49</formula>
    </cfRule>
    <cfRule type="cellIs" dxfId="2108" priority="272" operator="lessThan">
      <formula>4.5</formula>
    </cfRule>
    <cfRule type="cellIs" dxfId="2107" priority="273" operator="lessThan">
      <formula>4.49</formula>
    </cfRule>
    <cfRule type="cellIs" dxfId="2106" priority="274" operator="lessThan">
      <formula>4.48</formula>
    </cfRule>
  </conditionalFormatting>
  <conditionalFormatting sqref="C46:H46">
    <cfRule type="cellIs" dxfId="2105" priority="269" operator="lessThan">
      <formula>15</formula>
    </cfRule>
    <cfRule type="cellIs" dxfId="2104" priority="270" operator="greaterThan">
      <formula>14</formula>
    </cfRule>
  </conditionalFormatting>
  <conditionalFormatting sqref="H47">
    <cfRule type="cellIs" dxfId="2103" priority="267" operator="lessThan">
      <formula>25</formula>
    </cfRule>
    <cfRule type="cellIs" dxfId="2102" priority="268" operator="greaterThan">
      <formula>24</formula>
    </cfRule>
  </conditionalFormatting>
  <conditionalFormatting sqref="H48">
    <cfRule type="cellIs" dxfId="2101" priority="265" operator="lessThan">
      <formula>6</formula>
    </cfRule>
    <cfRule type="cellIs" dxfId="2100" priority="266" operator="greaterThan">
      <formula>5</formula>
    </cfRule>
  </conditionalFormatting>
  <conditionalFormatting sqref="H49">
    <cfRule type="cellIs" dxfId="2099" priority="263" operator="lessThan">
      <formula>25</formula>
    </cfRule>
    <cfRule type="cellIs" dxfId="2098" priority="264" operator="greaterThan">
      <formula>24</formula>
    </cfRule>
  </conditionalFormatting>
  <conditionalFormatting sqref="H52:H53">
    <cfRule type="cellIs" dxfId="2097" priority="261" operator="lessThan">
      <formula>144</formula>
    </cfRule>
    <cfRule type="cellIs" dxfId="2096" priority="262" operator="greaterThan">
      <formula>143</formula>
    </cfRule>
  </conditionalFormatting>
  <conditionalFormatting sqref="H56">
    <cfRule type="cellIs" dxfId="2095" priority="259" operator="greaterThan">
      <formula>4.59</formula>
    </cfRule>
    <cfRule type="cellIs" dxfId="2094" priority="260" operator="lessThan">
      <formula>4.6</formula>
    </cfRule>
  </conditionalFormatting>
  <conditionalFormatting sqref="G47">
    <cfRule type="cellIs" dxfId="2093" priority="257" operator="lessThan">
      <formula>20</formula>
    </cfRule>
    <cfRule type="cellIs" dxfId="2092" priority="258" operator="greaterThan">
      <formula>19</formula>
    </cfRule>
  </conditionalFormatting>
  <conditionalFormatting sqref="G48">
    <cfRule type="cellIs" dxfId="2091" priority="255" operator="lessThan">
      <formula>5</formula>
    </cfRule>
    <cfRule type="cellIs" dxfId="2090" priority="256" operator="greaterThan">
      <formula>4</formula>
    </cfRule>
  </conditionalFormatting>
  <conditionalFormatting sqref="G49">
    <cfRule type="cellIs" dxfId="2089" priority="253" operator="lessThan">
      <formula>20</formula>
    </cfRule>
    <cfRule type="cellIs" dxfId="2088" priority="254" operator="greaterThan">
      <formula>19</formula>
    </cfRule>
  </conditionalFormatting>
  <conditionalFormatting sqref="G52:G53">
    <cfRule type="cellIs" dxfId="2087" priority="251" operator="lessThan">
      <formula>120</formula>
    </cfRule>
    <cfRule type="cellIs" dxfId="2086" priority="252" operator="greaterThan">
      <formula>119</formula>
    </cfRule>
  </conditionalFormatting>
  <conditionalFormatting sqref="G56">
    <cfRule type="cellIs" dxfId="2085" priority="249" operator="greaterThan">
      <formula>4.75</formula>
    </cfRule>
    <cfRule type="cellIs" dxfId="2084" priority="250" operator="lessThan">
      <formula>4.76</formula>
    </cfRule>
  </conditionalFormatting>
  <conditionalFormatting sqref="F47">
    <cfRule type="cellIs" dxfId="2083" priority="247" operator="lessThan">
      <formula>15</formula>
    </cfRule>
    <cfRule type="cellIs" dxfId="2082" priority="248" operator="greaterThan">
      <formula>14</formula>
    </cfRule>
  </conditionalFormatting>
  <conditionalFormatting sqref="F48">
    <cfRule type="cellIs" dxfId="2081" priority="245" operator="lessThan">
      <formula>4</formula>
    </cfRule>
    <cfRule type="cellIs" dxfId="2080" priority="246" operator="greaterThan">
      <formula>3</formula>
    </cfRule>
  </conditionalFormatting>
  <conditionalFormatting sqref="F49">
    <cfRule type="cellIs" dxfId="2079" priority="243" operator="lessThan">
      <formula>15</formula>
    </cfRule>
    <cfRule type="cellIs" dxfId="2078" priority="244" operator="greaterThan">
      <formula>14</formula>
    </cfRule>
  </conditionalFormatting>
  <conditionalFormatting sqref="F52:F53">
    <cfRule type="cellIs" dxfId="2077" priority="241" operator="lessThan">
      <formula>96</formula>
    </cfRule>
    <cfRule type="cellIs" dxfId="2076" priority="242" operator="greaterThan">
      <formula>95</formula>
    </cfRule>
  </conditionalFormatting>
  <conditionalFormatting sqref="F56">
    <cfRule type="cellIs" dxfId="2075" priority="239" operator="greaterThan">
      <formula>5</formula>
    </cfRule>
    <cfRule type="cellIs" dxfId="2074" priority="240" operator="lessThan">
      <formula>5.1</formula>
    </cfRule>
  </conditionalFormatting>
  <conditionalFormatting sqref="E47">
    <cfRule type="cellIs" dxfId="2073" priority="237" operator="lessThan">
      <formula>10</formula>
    </cfRule>
    <cfRule type="cellIs" dxfId="2072" priority="238" operator="greaterThan">
      <formula>9</formula>
    </cfRule>
  </conditionalFormatting>
  <conditionalFormatting sqref="E48">
    <cfRule type="cellIs" dxfId="2071" priority="235" operator="lessThan">
      <formula>3</formula>
    </cfRule>
    <cfRule type="cellIs" dxfId="2070" priority="236" operator="greaterThan">
      <formula>2</formula>
    </cfRule>
  </conditionalFormatting>
  <conditionalFormatting sqref="E49">
    <cfRule type="cellIs" dxfId="2069" priority="233" operator="lessThan">
      <formula>10</formula>
    </cfRule>
    <cfRule type="cellIs" dxfId="2068" priority="234" operator="greaterThan">
      <formula>9</formula>
    </cfRule>
  </conditionalFormatting>
  <conditionalFormatting sqref="E52:E53">
    <cfRule type="cellIs" dxfId="2067" priority="231" operator="lessThan">
      <formula>72</formula>
    </cfRule>
    <cfRule type="cellIs" dxfId="2066" priority="232" operator="greaterThan">
      <formula>71</formula>
    </cfRule>
  </conditionalFormatting>
  <conditionalFormatting sqref="E56">
    <cfRule type="cellIs" dxfId="2065" priority="229" operator="greaterThan">
      <formula>5.5</formula>
    </cfRule>
    <cfRule type="cellIs" dxfId="2064" priority="230" operator="lessThan">
      <formula>5.6</formula>
    </cfRule>
  </conditionalFormatting>
  <conditionalFormatting sqref="D47">
    <cfRule type="cellIs" dxfId="2063" priority="227" operator="lessThan">
      <formula>5</formula>
    </cfRule>
    <cfRule type="cellIs" dxfId="2062" priority="228" operator="greaterThan">
      <formula>4</formula>
    </cfRule>
  </conditionalFormatting>
  <conditionalFormatting sqref="D48">
    <cfRule type="cellIs" dxfId="2061" priority="225" operator="lessThan">
      <formula>2</formula>
    </cfRule>
    <cfRule type="cellIs" dxfId="2060" priority="226" operator="greaterThan">
      <formula>1</formula>
    </cfRule>
  </conditionalFormatting>
  <conditionalFormatting sqref="D49">
    <cfRule type="cellIs" dxfId="2059" priority="223" operator="lessThan">
      <formula>5</formula>
    </cfRule>
    <cfRule type="cellIs" dxfId="2058" priority="224" operator="greaterThan">
      <formula>4</formula>
    </cfRule>
  </conditionalFormatting>
  <conditionalFormatting sqref="D52:D53">
    <cfRule type="cellIs" dxfId="2057" priority="221" operator="lessThan">
      <formula>48</formula>
    </cfRule>
    <cfRule type="cellIs" dxfId="2056" priority="222" operator="greaterThan">
      <formula>47</formula>
    </cfRule>
  </conditionalFormatting>
  <conditionalFormatting sqref="D56">
    <cfRule type="cellIs" dxfId="2055" priority="219" operator="greaterThan">
      <formula>5.75</formula>
    </cfRule>
    <cfRule type="cellIs" dxfId="2054" priority="220" operator="lessThan">
      <formula>5.76</formula>
    </cfRule>
  </conditionalFormatting>
  <conditionalFormatting sqref="K36">
    <cfRule type="cellIs" dxfId="2053" priority="215" operator="lessThan">
      <formula>4</formula>
    </cfRule>
    <cfRule type="cellIs" dxfId="2052" priority="216" operator="lessThan">
      <formula>4.1</formula>
    </cfRule>
    <cfRule type="cellIs" dxfId="2051" priority="217" operator="greaterThan">
      <formula>4</formula>
    </cfRule>
    <cfRule type="cellIs" dxfId="2050" priority="218" operator="lessThan">
      <formula>4</formula>
    </cfRule>
  </conditionalFormatting>
  <conditionalFormatting sqref="K37">
    <cfRule type="cellIs" dxfId="2049" priority="213" operator="lessThan">
      <formula>0.499</formula>
    </cfRule>
    <cfRule type="cellIs" dxfId="2048" priority="214" operator="greaterThan">
      <formula>0.499</formula>
    </cfRule>
  </conditionalFormatting>
  <conditionalFormatting sqref="K38">
    <cfRule type="cellIs" dxfId="2047" priority="211" operator="lessThan">
      <formula>0.449</formula>
    </cfRule>
    <cfRule type="cellIs" dxfId="2046" priority="212" operator="greaterThan">
      <formula>0.449</formula>
    </cfRule>
  </conditionalFormatting>
  <conditionalFormatting sqref="K39">
    <cfRule type="cellIs" dxfId="2045" priority="132" operator="greaterThan">
      <formula>31.99</formula>
    </cfRule>
    <cfRule type="cellIs" dxfId="2044" priority="209" operator="lessThan">
      <formula>32.1</formula>
    </cfRule>
    <cfRule type="cellIs" dxfId="2043" priority="210" operator="greaterThan">
      <formula>32</formula>
    </cfRule>
  </conditionalFormatting>
  <conditionalFormatting sqref="K40">
    <cfRule type="cellIs" dxfId="2042" priority="207" operator="lessThan">
      <formula>1.78</formula>
    </cfRule>
    <cfRule type="cellIs" dxfId="2041" priority="208" operator="greaterThan">
      <formula>1.77</formula>
    </cfRule>
  </conditionalFormatting>
  <conditionalFormatting sqref="K41">
    <cfRule type="cellIs" dxfId="2040" priority="205" operator="lessThan">
      <formula>0.3499</formula>
    </cfRule>
    <cfRule type="cellIs" dxfId="2039" priority="206" operator="greaterThan">
      <formula>0.3499</formula>
    </cfRule>
  </conditionalFormatting>
  <conditionalFormatting sqref="K42">
    <cfRule type="cellIs" dxfId="2038" priority="203" operator="lessThan">
      <formula>0.7499</formula>
    </cfRule>
    <cfRule type="cellIs" dxfId="2037" priority="204" operator="greaterThan">
      <formula>0.7499</formula>
    </cfRule>
  </conditionalFormatting>
  <conditionalFormatting sqref="J36">
    <cfRule type="cellIs" dxfId="2036" priority="200" operator="lessThan">
      <formula>8</formula>
    </cfRule>
    <cfRule type="cellIs" dxfId="2035" priority="201" operator="greaterThan">
      <formula>7.9</formula>
    </cfRule>
    <cfRule type="cellIs" dxfId="2034" priority="202" operator="greaterThan">
      <formula>8</formula>
    </cfRule>
  </conditionalFormatting>
  <conditionalFormatting sqref="J37:J38 I38">
    <cfRule type="cellIs" dxfId="2033" priority="198" operator="lessThan">
      <formula>0.4</formula>
    </cfRule>
    <cfRule type="cellIs" dxfId="2032" priority="199" operator="greaterThan">
      <formula>0.3999</formula>
    </cfRule>
  </conditionalFormatting>
  <conditionalFormatting sqref="J39">
    <cfRule type="cellIs" dxfId="2031" priority="130" operator="lessThan">
      <formula>34</formula>
    </cfRule>
    <cfRule type="cellIs" dxfId="2030" priority="131" operator="greaterThan">
      <formula>33.9</formula>
    </cfRule>
    <cfRule type="cellIs" dxfId="2029" priority="196" operator="lessThan">
      <formula>34.1</formula>
    </cfRule>
    <cfRule type="cellIs" dxfId="2028" priority="197" operator="greaterThan">
      <formula>34</formula>
    </cfRule>
  </conditionalFormatting>
  <conditionalFormatting sqref="J40">
    <cfRule type="cellIs" dxfId="2027" priority="193" operator="lessThan">
      <formula>1.88</formula>
    </cfRule>
    <cfRule type="cellIs" dxfId="2026" priority="194" operator="lessThan">
      <formula>1.88</formula>
    </cfRule>
    <cfRule type="cellIs" dxfId="2025" priority="195" operator="greaterThan">
      <formula>1.87</formula>
    </cfRule>
  </conditionalFormatting>
  <conditionalFormatting sqref="I40">
    <cfRule type="cellIs" dxfId="2024" priority="191" operator="lessThan">
      <formula>2.01</formula>
    </cfRule>
    <cfRule type="cellIs" dxfId="2023" priority="192" operator="greaterThan">
      <formula>2</formula>
    </cfRule>
  </conditionalFormatting>
  <conditionalFormatting sqref="C40:H40">
    <cfRule type="cellIs" dxfId="2022" priority="188" operator="lessThan">
      <formula>2.08</formula>
    </cfRule>
    <cfRule type="cellIs" dxfId="2021" priority="189" operator="lessThan">
      <formula>2.08</formula>
    </cfRule>
    <cfRule type="cellIs" dxfId="2020" priority="190" operator="greaterThan">
      <formula>2.07</formula>
    </cfRule>
  </conditionalFormatting>
  <conditionalFormatting sqref="J44">
    <cfRule type="cellIs" dxfId="2019" priority="186" operator="lessThan">
      <formula>49.1</formula>
    </cfRule>
    <cfRule type="cellIs" dxfId="2018" priority="187" operator="greaterThan">
      <formula>49</formula>
    </cfRule>
  </conditionalFormatting>
  <conditionalFormatting sqref="J43">
    <cfRule type="cellIs" dxfId="2017" priority="184" operator="lessThan">
      <formula>45.1</formula>
    </cfRule>
    <cfRule type="cellIs" dxfId="2016" priority="185" operator="greaterThan">
      <formula>45</formula>
    </cfRule>
  </conditionalFormatting>
  <conditionalFormatting sqref="J42">
    <cfRule type="cellIs" dxfId="2015" priority="181" operator="lessThan">
      <formula>0.6999</formula>
    </cfRule>
    <cfRule type="cellIs" dxfId="2014" priority="182" operator="greaterThan">
      <formula>0.699</formula>
    </cfRule>
    <cfRule type="cellIs" dxfId="2013" priority="183" operator="greaterThan">
      <formula>0.699</formula>
    </cfRule>
  </conditionalFormatting>
  <conditionalFormatting sqref="J41">
    <cfRule type="cellIs" dxfId="2012" priority="179" operator="lessThan">
      <formula>0.2999</formula>
    </cfRule>
    <cfRule type="cellIs" dxfId="2011" priority="180" operator="greaterThan">
      <formula>0.299</formula>
    </cfRule>
  </conditionalFormatting>
  <conditionalFormatting sqref="G37:I37 C38:H38">
    <cfRule type="cellIs" dxfId="2010" priority="177" operator="lessThan">
      <formula>0.35</formula>
    </cfRule>
    <cfRule type="cellIs" dxfId="2009" priority="178" operator="greaterThan">
      <formula>0.349</formula>
    </cfRule>
  </conditionalFormatting>
  <conditionalFormatting sqref="I36">
    <cfRule type="cellIs" dxfId="2008" priority="173" operator="lessThan">
      <formula>10.1</formula>
    </cfRule>
    <cfRule type="cellIs" dxfId="2007" priority="174" operator="greaterThan">
      <formula>10</formula>
    </cfRule>
    <cfRule type="cellIs" dxfId="2006" priority="175" operator="lessThan">
      <formula>10</formula>
    </cfRule>
    <cfRule type="cellIs" dxfId="2005" priority="176" operator="greaterThan">
      <formula>10</formula>
    </cfRule>
  </conditionalFormatting>
  <conditionalFormatting sqref="I39">
    <cfRule type="cellIs" dxfId="2004" priority="128" operator="lessThan">
      <formula>37</formula>
    </cfRule>
    <cfRule type="cellIs" dxfId="2003" priority="129" operator="greaterThan">
      <formula>36.9</formula>
    </cfRule>
    <cfRule type="cellIs" dxfId="2002" priority="171" operator="lessThan">
      <formula>37.01</formula>
    </cfRule>
    <cfRule type="cellIs" dxfId="2001" priority="172" operator="greaterThan">
      <formula>37.01</formula>
    </cfRule>
  </conditionalFormatting>
  <conditionalFormatting sqref="I41">
    <cfRule type="cellIs" dxfId="2000" priority="169" operator="lessThan">
      <formula>0.249</formula>
    </cfRule>
    <cfRule type="cellIs" dxfId="1999" priority="170" operator="greaterThan">
      <formula>0.249</formula>
    </cfRule>
  </conditionalFormatting>
  <conditionalFormatting sqref="I42">
    <cfRule type="cellIs" dxfId="1998" priority="167" operator="lessThan">
      <formula>0.65</formula>
    </cfRule>
    <cfRule type="cellIs" dxfId="1997" priority="168" operator="greaterThan">
      <formula>0.649</formula>
    </cfRule>
  </conditionalFormatting>
  <conditionalFormatting sqref="I43">
    <cfRule type="cellIs" dxfId="1996" priority="114" operator="greaterThan">
      <formula>48.9</formula>
    </cfRule>
    <cfRule type="cellIs" dxfId="1995" priority="115" operator="lessThan">
      <formula>49</formula>
    </cfRule>
    <cfRule type="cellIs" dxfId="1994" priority="116" operator="lessThan">
      <formula>49</formula>
    </cfRule>
    <cfRule type="cellIs" dxfId="1993" priority="117" operator="greaterThan">
      <formula>48.9</formula>
    </cfRule>
    <cfRule type="cellIs" dxfId="1992" priority="165" operator="lessThan">
      <formula>47.1</formula>
    </cfRule>
    <cfRule type="cellIs" dxfId="1991" priority="166" operator="greaterThan">
      <formula>47</formula>
    </cfRule>
  </conditionalFormatting>
  <conditionalFormatting sqref="I44">
    <cfRule type="cellIs" dxfId="1990" priority="163" operator="lessThan">
      <formula>51.1</formula>
    </cfRule>
    <cfRule type="cellIs" dxfId="1989" priority="164" operator="greaterThan">
      <formula>51</formula>
    </cfRule>
  </conditionalFormatting>
  <conditionalFormatting sqref="G39:H39">
    <cfRule type="cellIs" dxfId="1988" priority="126" operator="lessThan">
      <formula>38</formula>
    </cfRule>
    <cfRule type="cellIs" dxfId="1987" priority="127" operator="greaterThan">
      <formula>37.9</formula>
    </cfRule>
    <cfRule type="cellIs" dxfId="1986" priority="161" operator="lessThan">
      <formula>38</formula>
    </cfRule>
    <cfRule type="cellIs" dxfId="1985" priority="162" operator="greaterThan">
      <formula>37.9</formula>
    </cfRule>
  </conditionalFormatting>
  <conditionalFormatting sqref="G41:H41">
    <cfRule type="cellIs" dxfId="1984" priority="159" operator="lessThan">
      <formula>0.25</formula>
    </cfRule>
    <cfRule type="cellIs" dxfId="1983" priority="160" operator="greaterThan">
      <formula>0.249</formula>
    </cfRule>
  </conditionalFormatting>
  <conditionalFormatting sqref="F42:H42">
    <cfRule type="cellIs" dxfId="1982" priority="157" operator="lessThan">
      <formula>0.6</formula>
    </cfRule>
    <cfRule type="cellIs" dxfId="1981" priority="158" operator="greaterThan">
      <formula>0.599</formula>
    </cfRule>
  </conditionalFormatting>
  <conditionalFormatting sqref="G36">
    <cfRule type="cellIs" dxfId="1980" priority="154" operator="lessThan">
      <formula>14</formula>
    </cfRule>
    <cfRule type="cellIs" dxfId="1979" priority="155" operator="greaterThan">
      <formula>13.99</formula>
    </cfRule>
    <cfRule type="cellIs" dxfId="1978" priority="156" operator="greaterThan">
      <formula>14</formula>
    </cfRule>
  </conditionalFormatting>
  <conditionalFormatting sqref="F36">
    <cfRule type="cellIs" dxfId="1977" priority="152" operator="lessThan">
      <formula>16</formula>
    </cfRule>
    <cfRule type="cellIs" dxfId="1976" priority="153" operator="greaterThan">
      <formula>15.9</formula>
    </cfRule>
  </conditionalFormatting>
  <conditionalFormatting sqref="E36">
    <cfRule type="cellIs" dxfId="1975" priority="150" operator="lessThan">
      <formula>18</formula>
    </cfRule>
    <cfRule type="cellIs" dxfId="1974" priority="151" operator="greaterThan">
      <formula>17.9</formula>
    </cfRule>
  </conditionalFormatting>
  <conditionalFormatting sqref="C36:D36">
    <cfRule type="cellIs" dxfId="1973" priority="148" operator="lessThan">
      <formula>24</formula>
    </cfRule>
    <cfRule type="cellIs" dxfId="1972" priority="149" operator="greaterThan">
      <formula>23.99</formula>
    </cfRule>
  </conditionalFormatting>
  <conditionalFormatting sqref="C37:F37">
    <cfRule type="cellIs" dxfId="1971" priority="145" operator="greaterThan">
      <formula>0.249</formula>
    </cfRule>
    <cfRule type="cellIs" dxfId="1970" priority="146" operator="lessThan">
      <formula>0.25</formula>
    </cfRule>
    <cfRule type="cellIs" dxfId="1969" priority="147" operator="greaterThan">
      <formula>24.9</formula>
    </cfRule>
  </conditionalFormatting>
  <conditionalFormatting sqref="C39:F39">
    <cfRule type="cellIs" dxfId="1968" priority="124" operator="lessThan">
      <formula>39.99</formula>
    </cfRule>
    <cfRule type="cellIs" dxfId="1967" priority="125" operator="greaterThan">
      <formula>39.99</formula>
    </cfRule>
    <cfRule type="cellIs" dxfId="1966" priority="143" operator="lessThan">
      <formula>40.1</formula>
    </cfRule>
    <cfRule type="cellIs" dxfId="1965" priority="144" operator="greaterThan">
      <formula>40</formula>
    </cfRule>
  </conditionalFormatting>
  <conditionalFormatting sqref="C41:F41">
    <cfRule type="cellIs" dxfId="1964" priority="141" operator="lessThan">
      <formula>0.15</formula>
    </cfRule>
    <cfRule type="cellIs" dxfId="1963" priority="142" operator="greaterThan">
      <formula>0.149</formula>
    </cfRule>
  </conditionalFormatting>
  <conditionalFormatting sqref="D42:E42">
    <cfRule type="cellIs" dxfId="1962" priority="139" operator="lessThan">
      <formula>0.5</formula>
    </cfRule>
    <cfRule type="cellIs" dxfId="1961" priority="140" operator="greaterThan">
      <formula>0.499</formula>
    </cfRule>
  </conditionalFormatting>
  <conditionalFormatting sqref="C42">
    <cfRule type="cellIs" dxfId="1960" priority="135" operator="lessThan">
      <formula>0.4</formula>
    </cfRule>
    <cfRule type="cellIs" dxfId="1959" priority="136" operator="greaterThan">
      <formula>0.399</formula>
    </cfRule>
    <cfRule type="cellIs" dxfId="1958" priority="137" operator="lessThan">
      <formula>0.4</formula>
    </cfRule>
    <cfRule type="cellIs" dxfId="1957" priority="138" operator="greaterThan">
      <formula>0.499</formula>
    </cfRule>
  </conditionalFormatting>
  <conditionalFormatting sqref="C38:F38">
    <cfRule type="cellIs" dxfId="1956" priority="133" operator="lessThan">
      <formula>0.3</formula>
    </cfRule>
    <cfRule type="cellIs" dxfId="1955" priority="134" operator="greaterThan">
      <formula>0.299</formula>
    </cfRule>
  </conditionalFormatting>
  <conditionalFormatting sqref="C47:C49">
    <cfRule type="cellIs" dxfId="1954" priority="122" operator="lessThan">
      <formula>1</formula>
    </cfRule>
    <cfRule type="cellIs" dxfId="1953" priority="123" operator="greaterThan">
      <formula>0.9</formula>
    </cfRule>
  </conditionalFormatting>
  <conditionalFormatting sqref="C52:C53">
    <cfRule type="cellIs" dxfId="1952" priority="120" operator="lessThan">
      <formula>24</formula>
    </cfRule>
    <cfRule type="cellIs" dxfId="1951" priority="121" operator="greaterThan">
      <formula>23.9</formula>
    </cfRule>
  </conditionalFormatting>
  <conditionalFormatting sqref="C56">
    <cfRule type="cellIs" dxfId="1950" priority="118" operator="lessThan">
      <formula>6</formula>
    </cfRule>
    <cfRule type="cellIs" dxfId="1949" priority="119" operator="greaterThan">
      <formula>5.99</formula>
    </cfRule>
  </conditionalFormatting>
  <conditionalFormatting sqref="H43">
    <cfRule type="cellIs" dxfId="1948" priority="112" operator="lessThan">
      <formula>49</formula>
    </cfRule>
    <cfRule type="cellIs" dxfId="1947" priority="113" operator="greaterThan">
      <formula>48.9</formula>
    </cfRule>
  </conditionalFormatting>
  <conditionalFormatting sqref="G43">
    <cfRule type="cellIs" dxfId="1946" priority="110" operator="lessThan">
      <formula>51</formula>
    </cfRule>
    <cfRule type="cellIs" dxfId="1945" priority="111" operator="greaterThan">
      <formula>50.9</formula>
    </cfRule>
  </conditionalFormatting>
  <conditionalFormatting sqref="F43">
    <cfRule type="cellIs" dxfId="1944" priority="108" operator="lessThan">
      <formula>53</formula>
    </cfRule>
    <cfRule type="cellIs" dxfId="1943" priority="109" operator="greaterThan">
      <formula>52.9</formula>
    </cfRule>
  </conditionalFormatting>
  <conditionalFormatting sqref="E43">
    <cfRule type="cellIs" dxfId="1942" priority="106" operator="lessThan">
      <formula>55</formula>
    </cfRule>
    <cfRule type="cellIs" dxfId="1941" priority="107" operator="greaterThan">
      <formula>54.9</formula>
    </cfRule>
  </conditionalFormatting>
  <conditionalFormatting sqref="D43">
    <cfRule type="cellIs" dxfId="1940" priority="104" operator="lessThan">
      <formula>57</formula>
    </cfRule>
    <cfRule type="cellIs" dxfId="1939" priority="105" operator="greaterThan">
      <formula>56.9</formula>
    </cfRule>
  </conditionalFormatting>
  <conditionalFormatting sqref="C43">
    <cfRule type="cellIs" dxfId="1938" priority="102" operator="lessThan">
      <formula>57</formula>
    </cfRule>
    <cfRule type="cellIs" dxfId="1937" priority="103" operator="greaterThan">
      <formula>56.9</formula>
    </cfRule>
  </conditionalFormatting>
  <conditionalFormatting sqref="H44">
    <cfRule type="cellIs" dxfId="1936" priority="100" operator="lessThan">
      <formula>53</formula>
    </cfRule>
    <cfRule type="cellIs" dxfId="1935" priority="101" operator="greaterThan">
      <formula>52.9</formula>
    </cfRule>
  </conditionalFormatting>
  <conditionalFormatting sqref="G44">
    <cfRule type="cellIs" dxfId="1934" priority="98" operator="lessThan">
      <formula>55</formula>
    </cfRule>
    <cfRule type="cellIs" dxfId="1933" priority="99" operator="greaterThan">
      <formula>54.9</formula>
    </cfRule>
  </conditionalFormatting>
  <conditionalFormatting sqref="F44">
    <cfRule type="cellIs" dxfId="1932" priority="96" operator="lessThan">
      <formula>57</formula>
    </cfRule>
    <cfRule type="cellIs" dxfId="1931" priority="97" operator="greaterThan">
      <formula>56.9</formula>
    </cfRule>
  </conditionalFormatting>
  <conditionalFormatting sqref="E44">
    <cfRule type="cellIs" dxfId="1930" priority="94" operator="lessThan">
      <formula>59</formula>
    </cfRule>
    <cfRule type="cellIs" dxfId="1929" priority="95" operator="greaterThan">
      <formula>58.9</formula>
    </cfRule>
  </conditionalFormatting>
  <conditionalFormatting sqref="D44">
    <cfRule type="cellIs" dxfId="1928" priority="92" operator="lessThan">
      <formula>61</formula>
    </cfRule>
    <cfRule type="cellIs" dxfId="1927" priority="93" operator="greaterThan">
      <formula>60.9</formula>
    </cfRule>
  </conditionalFormatting>
  <conditionalFormatting sqref="C44">
    <cfRule type="cellIs" dxfId="1926" priority="90" operator="lessThan">
      <formula>63</formula>
    </cfRule>
    <cfRule type="cellIs" dxfId="1925" priority="91" operator="greaterThan">
      <formula>62.9</formula>
    </cfRule>
  </conditionalFormatting>
  <conditionalFormatting sqref="C50">
    <cfRule type="cellIs" dxfId="1924" priority="88" operator="lessThanOrEqual">
      <formula>5</formula>
    </cfRule>
    <cfRule type="cellIs" dxfId="1923" priority="89" operator="greaterThanOrEqual">
      <formula>5</formula>
    </cfRule>
  </conditionalFormatting>
  <conditionalFormatting sqref="D50">
    <cfRule type="cellIs" dxfId="1922" priority="86" operator="greaterThanOrEqual">
      <formula>6</formula>
    </cfRule>
    <cfRule type="cellIs" dxfId="1921" priority="87" operator="lessThan">
      <formula>6</formula>
    </cfRule>
  </conditionalFormatting>
  <conditionalFormatting sqref="E50">
    <cfRule type="cellIs" dxfId="1920" priority="84" operator="greaterThanOrEqual">
      <formula>7</formula>
    </cfRule>
    <cfRule type="cellIs" dxfId="1919" priority="85" operator="lessThan">
      <formula>7</formula>
    </cfRule>
  </conditionalFormatting>
  <conditionalFormatting sqref="F50">
    <cfRule type="cellIs" dxfId="1918" priority="82" operator="lessThan">
      <formula>10</formula>
    </cfRule>
    <cfRule type="cellIs" dxfId="1917" priority="83" operator="greaterThanOrEqual">
      <formula>10</formula>
    </cfRule>
  </conditionalFormatting>
  <conditionalFormatting sqref="G50">
    <cfRule type="cellIs" dxfId="1916" priority="80" operator="lessThan">
      <formula>12</formula>
    </cfRule>
    <cfRule type="cellIs" dxfId="1915" priority="81" operator="greaterThanOrEqual">
      <formula>12</formula>
    </cfRule>
  </conditionalFormatting>
  <conditionalFormatting sqref="H50">
    <cfRule type="cellIs" dxfId="1914" priority="78" operator="lessThan">
      <formula>14</formula>
    </cfRule>
    <cfRule type="cellIs" dxfId="1913" priority="79" operator="greaterThanOrEqual">
      <formula>14</formula>
    </cfRule>
  </conditionalFormatting>
  <conditionalFormatting sqref="I50">
    <cfRule type="cellIs" dxfId="1912" priority="76" operator="lessThan">
      <formula>17</formula>
    </cfRule>
    <cfRule type="cellIs" dxfId="1911" priority="77" operator="greaterThanOrEqual">
      <formula>17</formula>
    </cfRule>
  </conditionalFormatting>
  <conditionalFormatting sqref="J50">
    <cfRule type="cellIs" dxfId="1910" priority="74" operator="lessThan">
      <formula>19</formula>
    </cfRule>
    <cfRule type="cellIs" dxfId="1909" priority="75" operator="greaterThanOrEqual">
      <formula>19</formula>
    </cfRule>
  </conditionalFormatting>
  <conditionalFormatting sqref="K50">
    <cfRule type="cellIs" dxfId="1908" priority="72" operator="lessThan">
      <formula>22</formula>
    </cfRule>
    <cfRule type="cellIs" dxfId="1907" priority="73" operator="greaterThanOrEqual">
      <formula>22</formula>
    </cfRule>
  </conditionalFormatting>
  <conditionalFormatting sqref="L50">
    <cfRule type="cellIs" dxfId="1906" priority="70" operator="lessThan">
      <formula>24</formula>
    </cfRule>
    <cfRule type="cellIs" dxfId="1905" priority="71" operator="greaterThanOrEqual">
      <formula>24</formula>
    </cfRule>
  </conditionalFormatting>
  <conditionalFormatting sqref="C51">
    <cfRule type="cellIs" dxfId="1904" priority="68" operator="lessThanOrEqual">
      <formula>5</formula>
    </cfRule>
    <cfRule type="cellIs" dxfId="1903" priority="69" operator="greaterThanOrEqual">
      <formula>5</formula>
    </cfRule>
  </conditionalFormatting>
  <conditionalFormatting sqref="D51">
    <cfRule type="cellIs" dxfId="1902" priority="66" operator="greaterThanOrEqual">
      <formula>6</formula>
    </cfRule>
    <cfRule type="cellIs" dxfId="1901" priority="67" operator="lessThan">
      <formula>6</formula>
    </cfRule>
  </conditionalFormatting>
  <conditionalFormatting sqref="E51">
    <cfRule type="cellIs" dxfId="1900" priority="64" operator="greaterThanOrEqual">
      <formula>7</formula>
    </cfRule>
    <cfRule type="cellIs" dxfId="1899" priority="65" operator="lessThan">
      <formula>7</formula>
    </cfRule>
  </conditionalFormatting>
  <conditionalFormatting sqref="F51">
    <cfRule type="cellIs" dxfId="1898" priority="62" operator="lessThan">
      <formula>10</formula>
    </cfRule>
    <cfRule type="cellIs" dxfId="1897" priority="63" operator="greaterThanOrEqual">
      <formula>10</formula>
    </cfRule>
  </conditionalFormatting>
  <conditionalFormatting sqref="G51">
    <cfRule type="cellIs" dxfId="1896" priority="60" operator="lessThan">
      <formula>12</formula>
    </cfRule>
    <cfRule type="cellIs" dxfId="1895" priority="61" operator="greaterThanOrEqual">
      <formula>12</formula>
    </cfRule>
  </conditionalFormatting>
  <conditionalFormatting sqref="H51">
    <cfRule type="cellIs" dxfId="1894" priority="58" operator="lessThan">
      <formula>14</formula>
    </cfRule>
    <cfRule type="cellIs" dxfId="1893" priority="59" operator="greaterThanOrEqual">
      <formula>14</formula>
    </cfRule>
  </conditionalFormatting>
  <conditionalFormatting sqref="I51">
    <cfRule type="cellIs" dxfId="1892" priority="56" operator="lessThan">
      <formula>17</formula>
    </cfRule>
    <cfRule type="cellIs" dxfId="1891" priority="57" operator="greaterThanOrEqual">
      <formula>17</formula>
    </cfRule>
  </conditionalFormatting>
  <conditionalFormatting sqref="J51">
    <cfRule type="cellIs" dxfId="1890" priority="54" operator="lessThan">
      <formula>19</formula>
    </cfRule>
    <cfRule type="cellIs" dxfId="1889" priority="55" operator="greaterThanOrEqual">
      <formula>19</formula>
    </cfRule>
  </conditionalFormatting>
  <conditionalFormatting sqref="K51">
    <cfRule type="cellIs" dxfId="1888" priority="52" operator="lessThan">
      <formula>22</formula>
    </cfRule>
    <cfRule type="cellIs" dxfId="1887" priority="53" operator="greaterThanOrEqual">
      <formula>22</formula>
    </cfRule>
  </conditionalFormatting>
  <conditionalFormatting sqref="L51">
    <cfRule type="cellIs" dxfId="1886" priority="50" operator="lessThan">
      <formula>24</formula>
    </cfRule>
    <cfRule type="cellIs" dxfId="1885" priority="51" operator="greaterThanOrEqual">
      <formula>24</formula>
    </cfRule>
  </conditionalFormatting>
  <conditionalFormatting sqref="C54">
    <cfRule type="cellIs" dxfId="1884" priority="39" operator="greaterThanOrEqual">
      <formula>0.08</formula>
    </cfRule>
    <cfRule type="cellIs" dxfId="1883" priority="49" operator="lessThan">
      <formula>0.08</formula>
    </cfRule>
  </conditionalFormatting>
  <conditionalFormatting sqref="D54">
    <cfRule type="cellIs" dxfId="1882" priority="38" operator="greaterThanOrEqual">
      <formula>0.1</formula>
    </cfRule>
    <cfRule type="cellIs" dxfId="1881" priority="48" operator="lessThan">
      <formula>0.1</formula>
    </cfRule>
  </conditionalFormatting>
  <conditionalFormatting sqref="E54">
    <cfRule type="cellIs" dxfId="1880" priority="37" operator="greaterThanOrEqual">
      <formula>1</formula>
    </cfRule>
    <cfRule type="cellIs" dxfId="1879" priority="47" operator="lessThan">
      <formula>1</formula>
    </cfRule>
  </conditionalFormatting>
  <conditionalFormatting sqref="F54">
    <cfRule type="cellIs" dxfId="1878" priority="36" operator="greaterThanOrEqual">
      <formula>1.02</formula>
    </cfRule>
    <cfRule type="cellIs" dxfId="1877" priority="46" operator="lessThan">
      <formula>1.02</formula>
    </cfRule>
  </conditionalFormatting>
  <conditionalFormatting sqref="G54">
    <cfRule type="cellIs" dxfId="1876" priority="35" operator="greaterThanOrEqual">
      <formula>1.04</formula>
    </cfRule>
    <cfRule type="cellIs" dxfId="1875" priority="45" operator="lessThan">
      <formula>1.04</formula>
    </cfRule>
  </conditionalFormatting>
  <conditionalFormatting sqref="H54">
    <cfRule type="cellIs" dxfId="1874" priority="34" operator="greaterThanOrEqual">
      <formula>1.06</formula>
    </cfRule>
    <cfRule type="cellIs" dxfId="1873" priority="44" operator="lessThan">
      <formula>1.06</formula>
    </cfRule>
  </conditionalFormatting>
  <conditionalFormatting sqref="I54">
    <cfRule type="cellIs" dxfId="1872" priority="33" operator="greaterThanOrEqual">
      <formula>1.08</formula>
    </cfRule>
    <cfRule type="cellIs" dxfId="1871" priority="43" operator="lessThan">
      <formula>1.08</formula>
    </cfRule>
  </conditionalFormatting>
  <conditionalFormatting sqref="J54">
    <cfRule type="cellIs" dxfId="1870" priority="32" operator="greaterThanOrEqual">
      <formula>1.1</formula>
    </cfRule>
    <cfRule type="cellIs" dxfId="1869" priority="42" operator="lessThan">
      <formula>1.1</formula>
    </cfRule>
  </conditionalFormatting>
  <conditionalFormatting sqref="K54">
    <cfRule type="cellIs" dxfId="1868" priority="31" operator="greaterThanOrEqual">
      <formula>2</formula>
    </cfRule>
    <cfRule type="cellIs" dxfId="1867" priority="41" operator="lessThan">
      <formula>2</formula>
    </cfRule>
  </conditionalFormatting>
  <conditionalFormatting sqref="L54">
    <cfRule type="cellIs" dxfId="1866" priority="30" operator="greaterThanOrEqual">
      <formula>2.04</formula>
    </cfRule>
    <cfRule type="cellIs" dxfId="1865" priority="40" operator="lessThan">
      <formula>2.04</formula>
    </cfRule>
  </conditionalFormatting>
  <conditionalFormatting sqref="C55">
    <cfRule type="cellIs" dxfId="1864" priority="26" operator="lessThan">
      <formula>3.08</formula>
    </cfRule>
    <cfRule type="cellIs" dxfId="1863" priority="29" operator="greaterThanOrEqual">
      <formula>3.08</formula>
    </cfRule>
  </conditionalFormatting>
  <conditionalFormatting sqref="D55">
    <cfRule type="cellIs" dxfId="1862" priority="25" operator="lessThan">
      <formula>4.02</formula>
    </cfRule>
    <cfRule type="cellIs" dxfId="1861" priority="28" operator="greaterThanOrEqual">
      <formula>4.02</formula>
    </cfRule>
  </conditionalFormatting>
  <conditionalFormatting sqref="E55">
    <cfRule type="cellIs" dxfId="1860" priority="24" operator="lessThan">
      <formula>4.08</formula>
    </cfRule>
    <cfRule type="cellIs" dxfId="1859" priority="27" operator="greaterThanOrEqual">
      <formula>4.08</formula>
    </cfRule>
  </conditionalFormatting>
  <conditionalFormatting sqref="F55">
    <cfRule type="cellIs" dxfId="1858" priority="22" operator="lessThan">
      <formula>5.02</formula>
    </cfRule>
    <cfRule type="cellIs" dxfId="1857" priority="23" operator="greaterThanOrEqual">
      <formula>5.02</formula>
    </cfRule>
  </conditionalFormatting>
  <conditionalFormatting sqref="G55">
    <cfRule type="cellIs" dxfId="1856" priority="19" operator="lessThan">
      <formula>5.08</formula>
    </cfRule>
    <cfRule type="cellIs" dxfId="1855" priority="21" operator="greaterThanOrEqual">
      <formula>5.08</formula>
    </cfRule>
  </conditionalFormatting>
  <conditionalFormatting sqref="H55">
    <cfRule type="cellIs" dxfId="1854" priority="10" operator="greaterThanOrEqual">
      <formula>6.02</formula>
    </cfRule>
    <cfRule type="cellIs" dxfId="1853" priority="20" operator="lessThan">
      <formula>6.08</formula>
    </cfRule>
  </conditionalFormatting>
  <conditionalFormatting sqref="I55">
    <cfRule type="cellIs" dxfId="1852" priority="17" operator="lessThan">
      <formula>6.08</formula>
    </cfRule>
    <cfRule type="cellIs" dxfId="1851" priority="18" operator="greaterThanOrEqual">
      <formula>6.08</formula>
    </cfRule>
  </conditionalFormatting>
  <conditionalFormatting sqref="J55">
    <cfRule type="cellIs" dxfId="1850" priority="15" operator="lessThan">
      <formula>7.02</formula>
    </cfRule>
    <cfRule type="cellIs" dxfId="1849" priority="16" operator="greaterThanOrEqual">
      <formula>7.02</formula>
    </cfRule>
  </conditionalFormatting>
  <conditionalFormatting sqref="K55">
    <cfRule type="cellIs" dxfId="1848" priority="13" operator="lessThan">
      <formula>7.08</formula>
    </cfRule>
    <cfRule type="cellIs" dxfId="1847" priority="14" operator="greaterThanOrEqual">
      <formula>7.08</formula>
    </cfRule>
  </conditionalFormatting>
  <conditionalFormatting sqref="L55">
    <cfRule type="cellIs" dxfId="1846" priority="11" operator="lessThan">
      <formula>8</formula>
    </cfRule>
    <cfRule type="cellIs" dxfId="1845" priority="12" operator="greaterThanOrEqual">
      <formula>8</formula>
    </cfRule>
  </conditionalFormatting>
  <conditionalFormatting sqref="H36">
    <cfRule type="cellIs" dxfId="1844" priority="8" operator="greaterThan">
      <formula>11.9</formula>
    </cfRule>
    <cfRule type="cellIs" dxfId="1843" priority="9" operator="lessThan">
      <formula>12</formula>
    </cfRule>
  </conditionalFormatting>
  <conditionalFormatting sqref="I86">
    <cfRule type="cellIs" dxfId="1842" priority="1" operator="lessThan">
      <formula>1</formula>
    </cfRule>
    <cfRule type="cellIs" dxfId="1841" priority="2" operator="lessThan">
      <formula>0</formula>
    </cfRule>
    <cfRule type="cellIs" dxfId="1840" priority="3" operator="lessThan">
      <formula>0</formula>
    </cfRule>
  </conditionalFormatting>
  <conditionalFormatting sqref="I79">
    <cfRule type="cellIs" dxfId="1839" priority="5" operator="lessThan">
      <formula>1</formula>
    </cfRule>
    <cfRule type="cellIs" dxfId="1838" priority="6" operator="lessThan">
      <formula>0</formula>
    </cfRule>
    <cfRule type="cellIs" dxfId="1837" priority="7" operator="lessThan">
      <formula>0</formula>
    </cfRule>
  </conditionalFormatting>
  <conditionalFormatting sqref="I89:I90 I93:I94">
    <cfRule type="cellIs" dxfId="1836" priority="4" operator="lessThan">
      <formula>1</formula>
    </cfRule>
  </conditionalFormatting>
  <printOptions gridLines="1"/>
  <pageMargins left="0.7" right="0.7" top="0.75" bottom="0.75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11"/>
  <sheetViews>
    <sheetView tabSelected="1" topLeftCell="D65" zoomScale="78" zoomScaleNormal="78" workbookViewId="0">
      <selection activeCell="I100" sqref="I100"/>
    </sheetView>
  </sheetViews>
  <sheetFormatPr defaultRowHeight="15" x14ac:dyDescent="0.25"/>
  <cols>
    <col min="1" max="1" width="36.5703125" customWidth="1"/>
    <col min="2" max="2" width="13.7109375" customWidth="1"/>
    <col min="3" max="4" width="14.85546875" customWidth="1"/>
    <col min="5" max="12" width="15.7109375" customWidth="1"/>
    <col min="13" max="13" width="2.85546875" style="29" customWidth="1"/>
    <col min="14" max="15" width="15.7109375" customWidth="1"/>
  </cols>
  <sheetData>
    <row r="1" spans="1:17" ht="36.75" customHeight="1" x14ac:dyDescent="0.25">
      <c r="A1" s="67" t="s">
        <v>62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7" x14ac:dyDescent="0.25">
      <c r="B2" s="1" t="s">
        <v>21</v>
      </c>
      <c r="C2" s="20" t="s">
        <v>131</v>
      </c>
      <c r="D2" s="20" t="s">
        <v>132</v>
      </c>
      <c r="E2" s="6" t="s">
        <v>133</v>
      </c>
      <c r="F2" s="6" t="s">
        <v>134</v>
      </c>
      <c r="G2" s="7" t="s">
        <v>135</v>
      </c>
      <c r="H2" s="7" t="s">
        <v>136</v>
      </c>
      <c r="I2" s="8" t="s">
        <v>137</v>
      </c>
      <c r="J2" s="8" t="s">
        <v>138</v>
      </c>
      <c r="K2" s="9" t="s">
        <v>139</v>
      </c>
      <c r="L2" s="23" t="s">
        <v>140</v>
      </c>
      <c r="M2" s="10"/>
      <c r="N2" s="71" t="s">
        <v>203</v>
      </c>
      <c r="O2" s="72"/>
      <c r="P2" s="21"/>
      <c r="Q2" s="21"/>
    </row>
    <row r="3" spans="1:17" ht="18.75" x14ac:dyDescent="0.3">
      <c r="A3" s="3" t="s">
        <v>0</v>
      </c>
      <c r="B3" s="30"/>
      <c r="C3" s="30"/>
      <c r="D3" s="29"/>
      <c r="E3" s="29"/>
      <c r="F3" s="29"/>
      <c r="G3" s="29"/>
      <c r="H3" s="29"/>
      <c r="I3" s="29"/>
      <c r="J3" s="29"/>
      <c r="K3" s="29"/>
      <c r="L3" s="29"/>
      <c r="N3" s="1" t="s">
        <v>141</v>
      </c>
      <c r="O3" s="21"/>
      <c r="P3" s="21"/>
      <c r="Q3" s="21"/>
    </row>
    <row r="4" spans="1:17" x14ac:dyDescent="0.25">
      <c r="A4" s="2" t="s">
        <v>1</v>
      </c>
      <c r="B4" s="2" t="s">
        <v>22</v>
      </c>
      <c r="C4" s="19">
        <f t="shared" ref="C4:C10" si="0">N4</f>
        <v>4</v>
      </c>
      <c r="D4" s="18">
        <f t="shared" ref="D4:D10" si="1">N4</f>
        <v>4</v>
      </c>
      <c r="E4" s="18">
        <f t="shared" ref="E4:E10" si="2">N4</f>
        <v>4</v>
      </c>
      <c r="F4" s="18">
        <f t="shared" ref="F4:F10" si="3">N4</f>
        <v>4</v>
      </c>
      <c r="G4" s="18">
        <f t="shared" ref="G4:G10" si="4">N4</f>
        <v>4</v>
      </c>
      <c r="H4" s="18">
        <f t="shared" ref="H4:H10" si="5">N4</f>
        <v>4</v>
      </c>
      <c r="I4" s="18">
        <f t="shared" ref="I4:I10" si="6">N4</f>
        <v>4</v>
      </c>
      <c r="J4" s="18">
        <f t="shared" ref="J4:J10" si="7">N4</f>
        <v>4</v>
      </c>
      <c r="K4" s="18">
        <f t="shared" ref="K4:K10" si="8">N4</f>
        <v>4</v>
      </c>
      <c r="L4" s="18">
        <f>N4</f>
        <v>4</v>
      </c>
      <c r="N4" s="18">
        <v>4</v>
      </c>
    </row>
    <row r="5" spans="1:17" x14ac:dyDescent="0.25">
      <c r="A5" s="2" t="s">
        <v>2</v>
      </c>
      <c r="B5" s="2" t="s">
        <v>22</v>
      </c>
      <c r="C5" s="19">
        <f t="shared" si="0"/>
        <v>3</v>
      </c>
      <c r="D5" s="18">
        <f t="shared" si="1"/>
        <v>3</v>
      </c>
      <c r="E5" s="18">
        <f t="shared" si="2"/>
        <v>3</v>
      </c>
      <c r="F5" s="18">
        <f t="shared" si="3"/>
        <v>3</v>
      </c>
      <c r="G5" s="18">
        <f t="shared" si="4"/>
        <v>3</v>
      </c>
      <c r="H5" s="18">
        <f t="shared" si="5"/>
        <v>3</v>
      </c>
      <c r="I5" s="18">
        <f t="shared" si="6"/>
        <v>3</v>
      </c>
      <c r="J5" s="18">
        <f t="shared" si="7"/>
        <v>3</v>
      </c>
      <c r="K5" s="18">
        <f t="shared" si="8"/>
        <v>3</v>
      </c>
      <c r="L5" s="18">
        <f t="shared" ref="L5:L10" si="9">N5</f>
        <v>3</v>
      </c>
      <c r="N5" s="18">
        <v>3</v>
      </c>
    </row>
    <row r="6" spans="1:17" x14ac:dyDescent="0.25">
      <c r="A6" s="2" t="s">
        <v>3</v>
      </c>
      <c r="B6" s="2" t="s">
        <v>22</v>
      </c>
      <c r="C6" s="19">
        <f t="shared" si="0"/>
        <v>4</v>
      </c>
      <c r="D6" s="19">
        <f t="shared" si="1"/>
        <v>4</v>
      </c>
      <c r="E6" s="18">
        <f t="shared" si="2"/>
        <v>4</v>
      </c>
      <c r="F6" s="18">
        <f t="shared" si="3"/>
        <v>4</v>
      </c>
      <c r="G6" s="18">
        <f t="shared" si="4"/>
        <v>4</v>
      </c>
      <c r="H6" s="18">
        <f t="shared" si="5"/>
        <v>4</v>
      </c>
      <c r="I6" s="18">
        <f t="shared" si="6"/>
        <v>4</v>
      </c>
      <c r="J6" s="18">
        <f t="shared" si="7"/>
        <v>4</v>
      </c>
      <c r="K6" s="18">
        <f t="shared" si="8"/>
        <v>4</v>
      </c>
      <c r="L6" s="18">
        <f t="shared" si="9"/>
        <v>4</v>
      </c>
      <c r="N6" s="18">
        <v>4</v>
      </c>
    </row>
    <row r="7" spans="1:17" x14ac:dyDescent="0.25">
      <c r="A7" s="2" t="s">
        <v>4</v>
      </c>
      <c r="B7" s="2" t="s">
        <v>22</v>
      </c>
      <c r="C7" s="19">
        <f t="shared" si="0"/>
        <v>1</v>
      </c>
      <c r="D7" s="19">
        <f t="shared" si="1"/>
        <v>1</v>
      </c>
      <c r="E7" s="18">
        <f t="shared" si="2"/>
        <v>1</v>
      </c>
      <c r="F7" s="18">
        <f t="shared" si="3"/>
        <v>1</v>
      </c>
      <c r="G7" s="18">
        <f t="shared" si="4"/>
        <v>1</v>
      </c>
      <c r="H7" s="18">
        <f t="shared" si="5"/>
        <v>1</v>
      </c>
      <c r="I7" s="18">
        <f t="shared" si="6"/>
        <v>1</v>
      </c>
      <c r="J7" s="18">
        <f t="shared" si="7"/>
        <v>1</v>
      </c>
      <c r="K7" s="18">
        <f t="shared" si="8"/>
        <v>1</v>
      </c>
      <c r="L7" s="18">
        <f t="shared" si="9"/>
        <v>1</v>
      </c>
      <c r="N7" s="18">
        <v>1</v>
      </c>
    </row>
    <row r="8" spans="1:17" x14ac:dyDescent="0.25">
      <c r="A8" s="2" t="s">
        <v>5</v>
      </c>
      <c r="B8" s="2" t="s">
        <v>22</v>
      </c>
      <c r="C8" s="19">
        <f t="shared" si="0"/>
        <v>3</v>
      </c>
      <c r="D8" s="19">
        <f t="shared" si="1"/>
        <v>3</v>
      </c>
      <c r="E8" s="18">
        <f t="shared" si="2"/>
        <v>3</v>
      </c>
      <c r="F8" s="18">
        <f t="shared" si="3"/>
        <v>3</v>
      </c>
      <c r="G8" s="18">
        <f t="shared" si="4"/>
        <v>3</v>
      </c>
      <c r="H8" s="18">
        <f t="shared" si="5"/>
        <v>3</v>
      </c>
      <c r="I8" s="18">
        <f t="shared" si="6"/>
        <v>3</v>
      </c>
      <c r="J8" s="18">
        <f t="shared" si="7"/>
        <v>3</v>
      </c>
      <c r="K8" s="18">
        <f t="shared" si="8"/>
        <v>3</v>
      </c>
      <c r="L8" s="18">
        <f t="shared" si="9"/>
        <v>3</v>
      </c>
      <c r="N8" s="18">
        <v>3</v>
      </c>
    </row>
    <row r="9" spans="1:17" x14ac:dyDescent="0.25">
      <c r="A9" s="2" t="s">
        <v>6</v>
      </c>
      <c r="B9" s="2" t="s">
        <v>1</v>
      </c>
      <c r="C9" s="19">
        <f t="shared" si="0"/>
        <v>1</v>
      </c>
      <c r="D9" s="19">
        <f t="shared" si="1"/>
        <v>1</v>
      </c>
      <c r="E9" s="18">
        <f t="shared" si="2"/>
        <v>1</v>
      </c>
      <c r="F9" s="18">
        <f t="shared" si="3"/>
        <v>1</v>
      </c>
      <c r="G9" s="18">
        <f t="shared" si="4"/>
        <v>1</v>
      </c>
      <c r="H9" s="18">
        <f t="shared" si="5"/>
        <v>1</v>
      </c>
      <c r="I9" s="18">
        <f t="shared" si="6"/>
        <v>1</v>
      </c>
      <c r="J9" s="18">
        <f t="shared" si="7"/>
        <v>1</v>
      </c>
      <c r="K9" s="18">
        <f t="shared" si="8"/>
        <v>1</v>
      </c>
      <c r="L9" s="18">
        <f t="shared" si="9"/>
        <v>1</v>
      </c>
      <c r="N9" s="18">
        <v>1</v>
      </c>
    </row>
    <row r="10" spans="1:17" x14ac:dyDescent="0.25">
      <c r="A10" s="2" t="s">
        <v>7</v>
      </c>
      <c r="B10" s="2" t="s">
        <v>2</v>
      </c>
      <c r="C10" s="19">
        <f t="shared" si="0"/>
        <v>1</v>
      </c>
      <c r="D10" s="19">
        <f t="shared" si="1"/>
        <v>1</v>
      </c>
      <c r="E10" s="18">
        <f t="shared" si="2"/>
        <v>1</v>
      </c>
      <c r="F10" s="18">
        <f t="shared" si="3"/>
        <v>1</v>
      </c>
      <c r="G10" s="18">
        <f t="shared" si="4"/>
        <v>1</v>
      </c>
      <c r="H10" s="18">
        <f t="shared" si="5"/>
        <v>1</v>
      </c>
      <c r="I10" s="18">
        <f t="shared" si="6"/>
        <v>1</v>
      </c>
      <c r="J10" s="18">
        <f t="shared" si="7"/>
        <v>1</v>
      </c>
      <c r="K10" s="18">
        <f t="shared" si="8"/>
        <v>1</v>
      </c>
      <c r="L10" s="18">
        <f t="shared" si="9"/>
        <v>1</v>
      </c>
      <c r="N10" s="18">
        <v>1</v>
      </c>
    </row>
    <row r="11" spans="1:17" ht="18.75" x14ac:dyDescent="0.3">
      <c r="A11" s="3" t="s">
        <v>8</v>
      </c>
      <c r="B11" s="1"/>
      <c r="C11" s="1"/>
      <c r="D11" s="18"/>
      <c r="J11" s="11"/>
      <c r="K11" s="11"/>
      <c r="L11" s="11"/>
      <c r="N11" s="18"/>
    </row>
    <row r="12" spans="1:17" x14ac:dyDescent="0.25">
      <c r="A12" s="2" t="s">
        <v>10</v>
      </c>
      <c r="B12" s="2" t="s">
        <v>2</v>
      </c>
      <c r="C12" s="18">
        <f t="shared" ref="C12:C22" si="10">N12</f>
        <v>4</v>
      </c>
      <c r="D12" s="18">
        <f t="shared" ref="D12:D22" si="11">N12</f>
        <v>4</v>
      </c>
      <c r="E12" s="18">
        <f t="shared" ref="E12:E22" si="12">N12</f>
        <v>4</v>
      </c>
      <c r="F12" s="18">
        <f t="shared" ref="F12:F22" si="13">N12</f>
        <v>4</v>
      </c>
      <c r="G12" s="18">
        <f t="shared" ref="G12:G22" si="14">N12</f>
        <v>4</v>
      </c>
      <c r="H12" s="18">
        <f t="shared" ref="H12:H22" si="15">N12</f>
        <v>4</v>
      </c>
      <c r="I12" s="18">
        <f t="shared" ref="I12:I22" si="16">N12</f>
        <v>4</v>
      </c>
      <c r="J12" s="18">
        <f t="shared" ref="J12:J22" si="17">N12</f>
        <v>4</v>
      </c>
      <c r="K12" s="18">
        <f t="shared" ref="K12:K22" si="18">N12</f>
        <v>4</v>
      </c>
      <c r="L12" s="18">
        <f t="shared" ref="L12:L22" si="19">N12</f>
        <v>4</v>
      </c>
      <c r="N12" s="18">
        <v>4</v>
      </c>
    </row>
    <row r="13" spans="1:17" x14ac:dyDescent="0.25">
      <c r="A13" s="2" t="s">
        <v>9</v>
      </c>
      <c r="B13" s="2" t="s">
        <v>2</v>
      </c>
      <c r="C13" s="18">
        <f t="shared" si="10"/>
        <v>3</v>
      </c>
      <c r="D13" s="18">
        <f t="shared" si="11"/>
        <v>3</v>
      </c>
      <c r="E13" s="18">
        <f t="shared" si="12"/>
        <v>3</v>
      </c>
      <c r="F13" s="18">
        <f t="shared" si="13"/>
        <v>3</v>
      </c>
      <c r="G13" s="18">
        <f t="shared" si="14"/>
        <v>3</v>
      </c>
      <c r="H13" s="18">
        <f t="shared" si="15"/>
        <v>3</v>
      </c>
      <c r="I13" s="18">
        <f t="shared" si="16"/>
        <v>3</v>
      </c>
      <c r="J13" s="18">
        <f t="shared" si="17"/>
        <v>3</v>
      </c>
      <c r="K13" s="18">
        <f t="shared" si="18"/>
        <v>3</v>
      </c>
      <c r="L13" s="18">
        <f t="shared" si="19"/>
        <v>3</v>
      </c>
      <c r="N13" s="18">
        <v>3</v>
      </c>
    </row>
    <row r="14" spans="1:17" x14ac:dyDescent="0.25">
      <c r="A14" s="2" t="s">
        <v>11</v>
      </c>
      <c r="B14" s="2" t="s">
        <v>72</v>
      </c>
      <c r="C14" s="18">
        <f t="shared" si="10"/>
        <v>1</v>
      </c>
      <c r="D14" s="18">
        <f t="shared" si="11"/>
        <v>1</v>
      </c>
      <c r="E14" s="18">
        <f t="shared" si="12"/>
        <v>1</v>
      </c>
      <c r="F14" s="18">
        <f t="shared" si="13"/>
        <v>1</v>
      </c>
      <c r="G14" s="18">
        <f t="shared" si="14"/>
        <v>1</v>
      </c>
      <c r="H14" s="18">
        <f t="shared" si="15"/>
        <v>1</v>
      </c>
      <c r="I14" s="18">
        <f t="shared" si="16"/>
        <v>1</v>
      </c>
      <c r="J14" s="18">
        <f t="shared" si="17"/>
        <v>1</v>
      </c>
      <c r="K14" s="18">
        <f t="shared" si="18"/>
        <v>1</v>
      </c>
      <c r="L14" s="18">
        <f t="shared" si="19"/>
        <v>1</v>
      </c>
      <c r="N14" s="18">
        <v>1</v>
      </c>
    </row>
    <row r="15" spans="1:17" x14ac:dyDescent="0.25">
      <c r="A15" s="2" t="s">
        <v>12</v>
      </c>
      <c r="B15" s="2" t="s">
        <v>23</v>
      </c>
      <c r="C15" s="18">
        <f t="shared" si="10"/>
        <v>0</v>
      </c>
      <c r="D15" s="18">
        <f t="shared" si="11"/>
        <v>0</v>
      </c>
      <c r="E15" s="18">
        <f t="shared" si="12"/>
        <v>0</v>
      </c>
      <c r="F15" s="18">
        <f t="shared" si="13"/>
        <v>0</v>
      </c>
      <c r="G15" s="18">
        <f t="shared" si="14"/>
        <v>0</v>
      </c>
      <c r="H15" s="18">
        <f t="shared" si="15"/>
        <v>0</v>
      </c>
      <c r="I15" s="18">
        <f t="shared" si="16"/>
        <v>0</v>
      </c>
      <c r="J15" s="18">
        <f t="shared" si="17"/>
        <v>0</v>
      </c>
      <c r="K15" s="18">
        <f t="shared" si="18"/>
        <v>0</v>
      </c>
      <c r="L15" s="18">
        <f t="shared" si="19"/>
        <v>0</v>
      </c>
      <c r="N15" s="18">
        <v>0</v>
      </c>
    </row>
    <row r="16" spans="1:17" x14ac:dyDescent="0.25">
      <c r="A16" s="2" t="s">
        <v>13</v>
      </c>
      <c r="B16" s="2" t="s">
        <v>23</v>
      </c>
      <c r="C16" s="18">
        <f t="shared" si="10"/>
        <v>2</v>
      </c>
      <c r="D16" s="18">
        <f t="shared" si="11"/>
        <v>2</v>
      </c>
      <c r="E16" s="18">
        <f t="shared" si="12"/>
        <v>2</v>
      </c>
      <c r="F16" s="18">
        <f t="shared" si="13"/>
        <v>2</v>
      </c>
      <c r="G16" s="18">
        <f t="shared" si="14"/>
        <v>2</v>
      </c>
      <c r="H16" s="18">
        <f t="shared" si="15"/>
        <v>2</v>
      </c>
      <c r="I16" s="18">
        <f t="shared" si="16"/>
        <v>2</v>
      </c>
      <c r="J16" s="18">
        <f t="shared" si="17"/>
        <v>2</v>
      </c>
      <c r="K16" s="18">
        <f t="shared" si="18"/>
        <v>2</v>
      </c>
      <c r="L16" s="18">
        <f t="shared" si="19"/>
        <v>2</v>
      </c>
      <c r="N16" s="18">
        <v>2</v>
      </c>
    </row>
    <row r="17" spans="1:14" x14ac:dyDescent="0.25">
      <c r="A17" s="2" t="s">
        <v>14</v>
      </c>
      <c r="B17" s="2" t="s">
        <v>23</v>
      </c>
      <c r="C17" s="18">
        <f t="shared" si="10"/>
        <v>1</v>
      </c>
      <c r="D17" s="18">
        <f t="shared" si="11"/>
        <v>1</v>
      </c>
      <c r="E17" s="18">
        <f t="shared" si="12"/>
        <v>1</v>
      </c>
      <c r="F17" s="18">
        <f t="shared" si="13"/>
        <v>1</v>
      </c>
      <c r="G17" s="18">
        <f t="shared" si="14"/>
        <v>1</v>
      </c>
      <c r="H17" s="18">
        <f t="shared" si="15"/>
        <v>1</v>
      </c>
      <c r="I17" s="18">
        <f t="shared" si="16"/>
        <v>1</v>
      </c>
      <c r="J17" s="18">
        <f t="shared" si="17"/>
        <v>1</v>
      </c>
      <c r="K17" s="18">
        <f t="shared" si="18"/>
        <v>1</v>
      </c>
      <c r="L17" s="18">
        <f t="shared" si="19"/>
        <v>1</v>
      </c>
      <c r="N17" s="18">
        <v>1</v>
      </c>
    </row>
    <row r="18" spans="1:14" x14ac:dyDescent="0.25">
      <c r="A18" s="2" t="s">
        <v>15</v>
      </c>
      <c r="B18" s="2" t="s">
        <v>6</v>
      </c>
      <c r="C18" s="19">
        <f t="shared" si="10"/>
        <v>2</v>
      </c>
      <c r="D18" s="19">
        <f t="shared" si="11"/>
        <v>2</v>
      </c>
      <c r="E18" s="18">
        <f t="shared" si="12"/>
        <v>2</v>
      </c>
      <c r="F18" s="18">
        <f t="shared" si="13"/>
        <v>2</v>
      </c>
      <c r="G18" s="18">
        <f t="shared" si="14"/>
        <v>2</v>
      </c>
      <c r="H18" s="18">
        <f t="shared" si="15"/>
        <v>2</v>
      </c>
      <c r="I18" s="18">
        <f t="shared" si="16"/>
        <v>2</v>
      </c>
      <c r="J18" s="18">
        <f t="shared" si="17"/>
        <v>2</v>
      </c>
      <c r="K18" s="18">
        <f t="shared" si="18"/>
        <v>2</v>
      </c>
      <c r="L18" s="18">
        <f t="shared" si="19"/>
        <v>2</v>
      </c>
      <c r="N18" s="18">
        <v>2</v>
      </c>
    </row>
    <row r="19" spans="1:14" x14ac:dyDescent="0.25">
      <c r="A19" s="2" t="s">
        <v>16</v>
      </c>
      <c r="B19" s="2" t="s">
        <v>6</v>
      </c>
      <c r="C19" s="19">
        <f t="shared" si="10"/>
        <v>2</v>
      </c>
      <c r="D19" s="19">
        <f t="shared" si="11"/>
        <v>2</v>
      </c>
      <c r="E19" s="18">
        <f t="shared" si="12"/>
        <v>2</v>
      </c>
      <c r="F19" s="18">
        <f t="shared" si="13"/>
        <v>2</v>
      </c>
      <c r="G19" s="18">
        <f t="shared" si="14"/>
        <v>2</v>
      </c>
      <c r="H19" s="18">
        <f t="shared" si="15"/>
        <v>2</v>
      </c>
      <c r="I19" s="18">
        <f t="shared" si="16"/>
        <v>2</v>
      </c>
      <c r="J19" s="18">
        <f t="shared" si="17"/>
        <v>2</v>
      </c>
      <c r="K19" s="18">
        <f t="shared" si="18"/>
        <v>2</v>
      </c>
      <c r="L19" s="18">
        <f t="shared" si="19"/>
        <v>2</v>
      </c>
      <c r="N19" s="18">
        <v>2</v>
      </c>
    </row>
    <row r="20" spans="1:14" x14ac:dyDescent="0.25">
      <c r="A20" s="2" t="s">
        <v>17</v>
      </c>
      <c r="B20" s="2" t="s">
        <v>6</v>
      </c>
      <c r="C20" s="19">
        <f t="shared" si="10"/>
        <v>2</v>
      </c>
      <c r="D20" s="19">
        <f t="shared" si="11"/>
        <v>2</v>
      </c>
      <c r="E20" s="19">
        <f t="shared" si="12"/>
        <v>2</v>
      </c>
      <c r="F20" s="18">
        <f t="shared" si="13"/>
        <v>2</v>
      </c>
      <c r="G20" s="18">
        <f t="shared" si="14"/>
        <v>2</v>
      </c>
      <c r="H20" s="18">
        <f t="shared" si="15"/>
        <v>2</v>
      </c>
      <c r="I20" s="18">
        <f t="shared" si="16"/>
        <v>2</v>
      </c>
      <c r="J20" s="18">
        <f t="shared" si="17"/>
        <v>2</v>
      </c>
      <c r="K20" s="18">
        <f t="shared" si="18"/>
        <v>2</v>
      </c>
      <c r="L20" s="18">
        <f t="shared" si="19"/>
        <v>2</v>
      </c>
      <c r="N20" s="18">
        <v>2</v>
      </c>
    </row>
    <row r="21" spans="1:14" x14ac:dyDescent="0.25">
      <c r="A21" s="2" t="s">
        <v>18</v>
      </c>
      <c r="B21" s="2" t="s">
        <v>24</v>
      </c>
      <c r="C21" s="19">
        <f t="shared" si="10"/>
        <v>4</v>
      </c>
      <c r="D21" s="19">
        <f t="shared" si="11"/>
        <v>4</v>
      </c>
      <c r="E21" s="19">
        <f t="shared" si="12"/>
        <v>4</v>
      </c>
      <c r="F21" s="18">
        <f t="shared" si="13"/>
        <v>4</v>
      </c>
      <c r="G21" s="18">
        <f t="shared" si="14"/>
        <v>4</v>
      </c>
      <c r="H21" s="18">
        <f t="shared" si="15"/>
        <v>4</v>
      </c>
      <c r="I21" s="18">
        <f t="shared" si="16"/>
        <v>4</v>
      </c>
      <c r="J21" s="18">
        <f t="shared" si="17"/>
        <v>4</v>
      </c>
      <c r="K21" s="18">
        <f t="shared" si="18"/>
        <v>4</v>
      </c>
      <c r="L21" s="18">
        <f t="shared" si="19"/>
        <v>4</v>
      </c>
      <c r="N21" s="18">
        <v>4</v>
      </c>
    </row>
    <row r="22" spans="1:14" x14ac:dyDescent="0.25">
      <c r="A22" s="2" t="s">
        <v>84</v>
      </c>
      <c r="B22" s="2" t="s">
        <v>23</v>
      </c>
      <c r="C22" s="19">
        <f t="shared" si="10"/>
        <v>1</v>
      </c>
      <c r="D22" s="19">
        <f t="shared" si="11"/>
        <v>1</v>
      </c>
      <c r="E22" s="19">
        <f t="shared" si="12"/>
        <v>1</v>
      </c>
      <c r="F22" s="18">
        <f t="shared" si="13"/>
        <v>1</v>
      </c>
      <c r="G22" s="18">
        <f t="shared" si="14"/>
        <v>1</v>
      </c>
      <c r="H22" s="18">
        <f t="shared" si="15"/>
        <v>1</v>
      </c>
      <c r="I22" s="18">
        <f t="shared" si="16"/>
        <v>1</v>
      </c>
      <c r="J22" s="18">
        <f t="shared" si="17"/>
        <v>1</v>
      </c>
      <c r="K22" s="18">
        <f t="shared" si="18"/>
        <v>1</v>
      </c>
      <c r="L22" s="18">
        <f t="shared" si="19"/>
        <v>1</v>
      </c>
      <c r="N22" s="18">
        <v>1</v>
      </c>
    </row>
    <row r="23" spans="1:14" ht="18.75" x14ac:dyDescent="0.3">
      <c r="A23" s="3" t="s">
        <v>19</v>
      </c>
      <c r="B23" s="1"/>
      <c r="C23" s="1"/>
      <c r="J23" s="11"/>
      <c r="K23" s="11"/>
      <c r="L23" s="11"/>
      <c r="N23" t="s">
        <v>142</v>
      </c>
    </row>
    <row r="24" spans="1:14" x14ac:dyDescent="0.25">
      <c r="A24" s="2" t="s">
        <v>11</v>
      </c>
      <c r="B24" s="2" t="s">
        <v>23</v>
      </c>
      <c r="C24" s="19">
        <f>N24</f>
        <v>3</v>
      </c>
      <c r="D24" s="19">
        <f>N24</f>
        <v>3</v>
      </c>
      <c r="E24" s="18">
        <f>N24</f>
        <v>3</v>
      </c>
      <c r="F24" s="18">
        <f>N24</f>
        <v>3</v>
      </c>
      <c r="G24" s="18">
        <f>N24</f>
        <v>3</v>
      </c>
      <c r="H24" s="18">
        <f>N24</f>
        <v>3</v>
      </c>
      <c r="I24" s="18">
        <f>N24</f>
        <v>3</v>
      </c>
      <c r="J24" s="18">
        <f>N24</f>
        <v>3</v>
      </c>
      <c r="K24" s="18">
        <f>N24</f>
        <v>3</v>
      </c>
      <c r="L24" s="18">
        <f>N24</f>
        <v>3</v>
      </c>
      <c r="N24" s="18">
        <v>3</v>
      </c>
    </row>
    <row r="25" spans="1:14" x14ac:dyDescent="0.25">
      <c r="A25" s="2" t="s">
        <v>20</v>
      </c>
      <c r="B25" s="2" t="s">
        <v>6</v>
      </c>
      <c r="C25" s="19">
        <f>N25</f>
        <v>2</v>
      </c>
      <c r="D25" s="19">
        <f>N25</f>
        <v>2</v>
      </c>
      <c r="E25" s="19">
        <f>N25</f>
        <v>2</v>
      </c>
      <c r="F25" s="18">
        <f>N25</f>
        <v>2</v>
      </c>
      <c r="G25" s="18">
        <f>N25</f>
        <v>2</v>
      </c>
      <c r="H25" s="18">
        <f>N25</f>
        <v>2</v>
      </c>
      <c r="I25" s="18">
        <f>N25</f>
        <v>2</v>
      </c>
      <c r="J25" s="18">
        <f>N25</f>
        <v>2</v>
      </c>
      <c r="K25" s="18">
        <f>N25</f>
        <v>2</v>
      </c>
      <c r="L25" s="18">
        <f>N25</f>
        <v>2</v>
      </c>
      <c r="N25" s="18">
        <v>2</v>
      </c>
    </row>
    <row r="26" spans="1:14" ht="18.75" x14ac:dyDescent="0.3">
      <c r="A26" s="3" t="s">
        <v>25</v>
      </c>
      <c r="J26" s="11"/>
      <c r="K26" s="11"/>
      <c r="L26" s="11"/>
    </row>
    <row r="27" spans="1:14" x14ac:dyDescent="0.25">
      <c r="A27" s="2" t="s">
        <v>26</v>
      </c>
      <c r="B27" s="2" t="s">
        <v>14</v>
      </c>
      <c r="C27" s="18">
        <f t="shared" ref="C27:C34" si="20">N27</f>
        <v>6</v>
      </c>
      <c r="D27" s="18">
        <f t="shared" ref="D27:D34" si="21">N27</f>
        <v>6</v>
      </c>
      <c r="E27" s="18">
        <f t="shared" ref="E27:E34" si="22">N27</f>
        <v>6</v>
      </c>
      <c r="F27" s="18">
        <f t="shared" ref="F27:F34" si="23">N27</f>
        <v>6</v>
      </c>
      <c r="G27" s="18">
        <f t="shared" ref="G27:G34" si="24">N27</f>
        <v>6</v>
      </c>
      <c r="H27" s="18">
        <f t="shared" ref="H27:H34" si="25">N27</f>
        <v>6</v>
      </c>
      <c r="I27" s="18">
        <f t="shared" ref="I27:I34" si="26">N27</f>
        <v>6</v>
      </c>
      <c r="J27" s="18">
        <f t="shared" ref="J27:J34" si="27">N27</f>
        <v>6</v>
      </c>
      <c r="K27" s="18">
        <f t="shared" ref="K27:K34" si="28">N27</f>
        <v>6</v>
      </c>
      <c r="L27" s="18">
        <f t="shared" ref="L27:L34" si="29">N27</f>
        <v>6</v>
      </c>
      <c r="N27" s="18">
        <v>6</v>
      </c>
    </row>
    <row r="28" spans="1:14" x14ac:dyDescent="0.25">
      <c r="A28" s="2" t="s">
        <v>27</v>
      </c>
      <c r="B28" s="2" t="s">
        <v>13</v>
      </c>
      <c r="C28" s="18">
        <f t="shared" si="20"/>
        <v>6</v>
      </c>
      <c r="D28" s="18">
        <f t="shared" si="21"/>
        <v>6</v>
      </c>
      <c r="E28" s="18">
        <f t="shared" si="22"/>
        <v>6</v>
      </c>
      <c r="F28" s="18">
        <f t="shared" si="23"/>
        <v>6</v>
      </c>
      <c r="G28" s="18">
        <f t="shared" si="24"/>
        <v>6</v>
      </c>
      <c r="H28" s="18">
        <f t="shared" si="25"/>
        <v>6</v>
      </c>
      <c r="I28" s="18">
        <f t="shared" si="26"/>
        <v>6</v>
      </c>
      <c r="J28" s="18">
        <f t="shared" si="27"/>
        <v>6</v>
      </c>
      <c r="K28" s="18">
        <f t="shared" si="28"/>
        <v>6</v>
      </c>
      <c r="L28" s="18">
        <f t="shared" si="29"/>
        <v>6</v>
      </c>
      <c r="N28" s="18">
        <v>6</v>
      </c>
    </row>
    <row r="29" spans="1:14" x14ac:dyDescent="0.25">
      <c r="A29" s="2" t="s">
        <v>28</v>
      </c>
      <c r="B29" s="2" t="s">
        <v>12</v>
      </c>
      <c r="C29" s="18">
        <f t="shared" si="20"/>
        <v>6</v>
      </c>
      <c r="D29" s="18">
        <f t="shared" si="21"/>
        <v>6</v>
      </c>
      <c r="E29" s="18">
        <f t="shared" si="22"/>
        <v>6</v>
      </c>
      <c r="F29" s="18">
        <f t="shared" si="23"/>
        <v>6</v>
      </c>
      <c r="G29" s="18">
        <f t="shared" si="24"/>
        <v>6</v>
      </c>
      <c r="H29" s="18">
        <f t="shared" si="25"/>
        <v>6</v>
      </c>
      <c r="I29" s="18">
        <f t="shared" si="26"/>
        <v>6</v>
      </c>
      <c r="J29" s="18">
        <f t="shared" si="27"/>
        <v>6</v>
      </c>
      <c r="K29" s="18">
        <f t="shared" si="28"/>
        <v>6</v>
      </c>
      <c r="L29" s="18">
        <f t="shared" si="29"/>
        <v>6</v>
      </c>
      <c r="N29" s="18">
        <v>6</v>
      </c>
    </row>
    <row r="30" spans="1:14" x14ac:dyDescent="0.25">
      <c r="A30" s="2" t="s">
        <v>29</v>
      </c>
      <c r="B30" s="2" t="s">
        <v>12</v>
      </c>
      <c r="C30" s="19">
        <f t="shared" si="20"/>
        <v>3</v>
      </c>
      <c r="D30" s="19">
        <f t="shared" si="21"/>
        <v>3</v>
      </c>
      <c r="E30" s="19">
        <f t="shared" si="22"/>
        <v>3</v>
      </c>
      <c r="F30" s="18">
        <f t="shared" si="23"/>
        <v>3</v>
      </c>
      <c r="G30" s="18">
        <f t="shared" si="24"/>
        <v>3</v>
      </c>
      <c r="H30" s="18">
        <f t="shared" si="25"/>
        <v>3</v>
      </c>
      <c r="I30" s="18">
        <f t="shared" si="26"/>
        <v>3</v>
      </c>
      <c r="J30" s="18">
        <f t="shared" si="27"/>
        <v>3</v>
      </c>
      <c r="K30" s="18">
        <f t="shared" si="28"/>
        <v>3</v>
      </c>
      <c r="L30" s="18">
        <f t="shared" si="29"/>
        <v>3</v>
      </c>
      <c r="N30" s="18">
        <v>3</v>
      </c>
    </row>
    <row r="31" spans="1:14" x14ac:dyDescent="0.25">
      <c r="A31" s="2" t="s">
        <v>30</v>
      </c>
      <c r="B31" s="2" t="s">
        <v>12</v>
      </c>
      <c r="C31" s="19">
        <f t="shared" si="20"/>
        <v>2</v>
      </c>
      <c r="D31" s="19">
        <f t="shared" si="21"/>
        <v>2</v>
      </c>
      <c r="E31" s="19">
        <f t="shared" si="22"/>
        <v>2</v>
      </c>
      <c r="F31" s="18">
        <f t="shared" si="23"/>
        <v>2</v>
      </c>
      <c r="G31" s="18">
        <f t="shared" si="24"/>
        <v>2</v>
      </c>
      <c r="H31" s="18">
        <f t="shared" si="25"/>
        <v>2</v>
      </c>
      <c r="I31" s="18">
        <f t="shared" si="26"/>
        <v>2</v>
      </c>
      <c r="J31" s="18">
        <f t="shared" si="27"/>
        <v>2</v>
      </c>
      <c r="K31" s="18">
        <f t="shared" si="28"/>
        <v>2</v>
      </c>
      <c r="L31" s="18">
        <f t="shared" si="29"/>
        <v>2</v>
      </c>
      <c r="N31" s="18">
        <v>2</v>
      </c>
    </row>
    <row r="32" spans="1:14" x14ac:dyDescent="0.25">
      <c r="A32" s="2" t="s">
        <v>31</v>
      </c>
      <c r="B32" s="2" t="s">
        <v>11</v>
      </c>
      <c r="C32" s="19">
        <f t="shared" si="20"/>
        <v>4</v>
      </c>
      <c r="D32" s="19">
        <f t="shared" si="21"/>
        <v>4</v>
      </c>
      <c r="E32" s="19">
        <f t="shared" si="22"/>
        <v>4</v>
      </c>
      <c r="F32" s="18">
        <f t="shared" si="23"/>
        <v>4</v>
      </c>
      <c r="G32" s="18">
        <f t="shared" si="24"/>
        <v>4</v>
      </c>
      <c r="H32" s="18">
        <f t="shared" si="25"/>
        <v>4</v>
      </c>
      <c r="I32" s="18">
        <f t="shared" si="26"/>
        <v>4</v>
      </c>
      <c r="J32" s="18">
        <f t="shared" si="27"/>
        <v>4</v>
      </c>
      <c r="K32" s="18">
        <f t="shared" si="28"/>
        <v>4</v>
      </c>
      <c r="L32" s="18">
        <f t="shared" si="29"/>
        <v>4</v>
      </c>
      <c r="N32" s="18">
        <v>4</v>
      </c>
    </row>
    <row r="33" spans="1:14" x14ac:dyDescent="0.25">
      <c r="A33" s="2" t="s">
        <v>32</v>
      </c>
      <c r="B33" s="2" t="s">
        <v>11</v>
      </c>
      <c r="C33" s="19">
        <f t="shared" si="20"/>
        <v>0</v>
      </c>
      <c r="D33" s="19">
        <f t="shared" si="21"/>
        <v>0</v>
      </c>
      <c r="E33" s="19">
        <f t="shared" si="22"/>
        <v>0</v>
      </c>
      <c r="F33" s="18">
        <f t="shared" si="23"/>
        <v>0</v>
      </c>
      <c r="G33" s="18">
        <f t="shared" si="24"/>
        <v>0</v>
      </c>
      <c r="H33" s="18">
        <f t="shared" si="25"/>
        <v>0</v>
      </c>
      <c r="I33" s="18">
        <f t="shared" si="26"/>
        <v>0</v>
      </c>
      <c r="J33" s="18">
        <f t="shared" si="27"/>
        <v>0</v>
      </c>
      <c r="K33" s="18">
        <f t="shared" si="28"/>
        <v>0</v>
      </c>
      <c r="L33" s="18">
        <f t="shared" si="29"/>
        <v>0</v>
      </c>
      <c r="N33" s="18">
        <v>0</v>
      </c>
    </row>
    <row r="34" spans="1:14" x14ac:dyDescent="0.25">
      <c r="A34" s="2" t="s">
        <v>33</v>
      </c>
      <c r="B34" s="2" t="s">
        <v>12</v>
      </c>
      <c r="C34" s="19">
        <f t="shared" si="20"/>
        <v>2</v>
      </c>
      <c r="D34" s="19">
        <f t="shared" si="21"/>
        <v>2</v>
      </c>
      <c r="E34" s="19">
        <f t="shared" si="22"/>
        <v>2</v>
      </c>
      <c r="F34" s="18">
        <f t="shared" si="23"/>
        <v>2</v>
      </c>
      <c r="G34" s="18">
        <f t="shared" si="24"/>
        <v>2</v>
      </c>
      <c r="H34" s="18">
        <f t="shared" si="25"/>
        <v>2</v>
      </c>
      <c r="I34" s="18">
        <f t="shared" si="26"/>
        <v>2</v>
      </c>
      <c r="J34" s="18">
        <f t="shared" si="27"/>
        <v>2</v>
      </c>
      <c r="K34" s="18">
        <f t="shared" si="28"/>
        <v>2</v>
      </c>
      <c r="L34" s="18">
        <f t="shared" si="29"/>
        <v>2</v>
      </c>
      <c r="N34" s="18">
        <v>2</v>
      </c>
    </row>
    <row r="35" spans="1:14" ht="18.75" x14ac:dyDescent="0.3">
      <c r="A35" s="3" t="s">
        <v>34</v>
      </c>
      <c r="J35" s="10"/>
      <c r="K35" s="11"/>
      <c r="L35" s="11"/>
    </row>
    <row r="36" spans="1:14" x14ac:dyDescent="0.25">
      <c r="A36" s="2" t="s">
        <v>35</v>
      </c>
      <c r="B36" s="2" t="s">
        <v>36</v>
      </c>
      <c r="C36" s="18">
        <f t="shared" ref="C36:C44" si="30">N36</f>
        <v>0</v>
      </c>
      <c r="D36" s="18">
        <f t="shared" ref="D36:D44" si="31">N36</f>
        <v>0</v>
      </c>
      <c r="E36" s="18">
        <f t="shared" ref="E36:E44" si="32">N36</f>
        <v>0</v>
      </c>
      <c r="F36" s="18">
        <f t="shared" ref="F36:F44" si="33">N36</f>
        <v>0</v>
      </c>
      <c r="G36" s="18">
        <f t="shared" ref="G36:G44" si="34">N36</f>
        <v>0</v>
      </c>
      <c r="H36" s="18">
        <f t="shared" ref="H36:H44" si="35">N36</f>
        <v>0</v>
      </c>
      <c r="I36" s="18">
        <f t="shared" ref="I36:I44" si="36">N36</f>
        <v>0</v>
      </c>
      <c r="J36" s="18">
        <f t="shared" ref="J36:J44" si="37">N36</f>
        <v>0</v>
      </c>
      <c r="K36" s="18">
        <f t="shared" ref="K36:K44" si="38">N36</f>
        <v>0</v>
      </c>
      <c r="L36" s="18">
        <f t="shared" ref="L36:L44" si="39">N36</f>
        <v>0</v>
      </c>
      <c r="N36" s="18">
        <v>0</v>
      </c>
    </row>
    <row r="37" spans="1:14" x14ac:dyDescent="0.25">
      <c r="A37" s="2" t="s">
        <v>37</v>
      </c>
      <c r="B37" s="2" t="s">
        <v>39</v>
      </c>
      <c r="C37" s="25">
        <f t="shared" si="30"/>
        <v>0</v>
      </c>
      <c r="D37" s="25">
        <f t="shared" si="31"/>
        <v>0</v>
      </c>
      <c r="E37" s="25">
        <f t="shared" si="32"/>
        <v>0</v>
      </c>
      <c r="F37" s="25">
        <f t="shared" si="33"/>
        <v>0</v>
      </c>
      <c r="G37" s="25">
        <f t="shared" si="34"/>
        <v>0</v>
      </c>
      <c r="H37" s="25">
        <f t="shared" si="35"/>
        <v>0</v>
      </c>
      <c r="I37" s="25">
        <f t="shared" si="36"/>
        <v>0</v>
      </c>
      <c r="J37" s="25">
        <f t="shared" si="37"/>
        <v>0</v>
      </c>
      <c r="K37" s="25">
        <f t="shared" si="38"/>
        <v>0</v>
      </c>
      <c r="L37" s="22">
        <f t="shared" si="39"/>
        <v>0</v>
      </c>
      <c r="N37" s="22">
        <v>0</v>
      </c>
    </row>
    <row r="38" spans="1:14" x14ac:dyDescent="0.25">
      <c r="A38" s="2" t="s">
        <v>38</v>
      </c>
      <c r="B38" s="2" t="s">
        <v>39</v>
      </c>
      <c r="C38" s="25">
        <f t="shared" si="30"/>
        <v>0</v>
      </c>
      <c r="D38" s="25">
        <f t="shared" si="31"/>
        <v>0</v>
      </c>
      <c r="E38" s="25">
        <f t="shared" si="32"/>
        <v>0</v>
      </c>
      <c r="F38" s="25">
        <f t="shared" si="33"/>
        <v>0</v>
      </c>
      <c r="G38" s="25">
        <f t="shared" si="34"/>
        <v>0</v>
      </c>
      <c r="H38" s="25">
        <f t="shared" si="35"/>
        <v>0</v>
      </c>
      <c r="I38" s="25">
        <f t="shared" si="36"/>
        <v>0</v>
      </c>
      <c r="J38" s="25">
        <f t="shared" si="37"/>
        <v>0</v>
      </c>
      <c r="K38" s="25">
        <f t="shared" si="38"/>
        <v>0</v>
      </c>
      <c r="L38" s="22">
        <f t="shared" si="39"/>
        <v>0</v>
      </c>
      <c r="N38" s="22">
        <v>0</v>
      </c>
    </row>
    <row r="39" spans="1:14" x14ac:dyDescent="0.25">
      <c r="A39" s="2" t="s">
        <v>40</v>
      </c>
      <c r="B39" s="2" t="s">
        <v>39</v>
      </c>
      <c r="C39" s="18">
        <f t="shared" si="30"/>
        <v>0</v>
      </c>
      <c r="D39" s="18">
        <f t="shared" si="31"/>
        <v>0</v>
      </c>
      <c r="E39" s="18">
        <f t="shared" si="32"/>
        <v>0</v>
      </c>
      <c r="F39" s="18">
        <f t="shared" si="33"/>
        <v>0</v>
      </c>
      <c r="G39" s="18">
        <f t="shared" si="34"/>
        <v>0</v>
      </c>
      <c r="H39" s="18">
        <f t="shared" si="35"/>
        <v>0</v>
      </c>
      <c r="I39" s="18">
        <f t="shared" si="36"/>
        <v>0</v>
      </c>
      <c r="J39" s="18">
        <f t="shared" si="37"/>
        <v>0</v>
      </c>
      <c r="K39" s="18">
        <f t="shared" si="38"/>
        <v>0</v>
      </c>
      <c r="L39" s="18">
        <f t="shared" si="39"/>
        <v>0</v>
      </c>
      <c r="N39" s="18">
        <v>0</v>
      </c>
    </row>
    <row r="40" spans="1:14" x14ac:dyDescent="0.25">
      <c r="A40" s="2" t="s">
        <v>41</v>
      </c>
      <c r="B40" s="2" t="s">
        <v>39</v>
      </c>
      <c r="C40" s="26">
        <f t="shared" si="30"/>
        <v>0</v>
      </c>
      <c r="D40" s="26">
        <f t="shared" si="31"/>
        <v>0</v>
      </c>
      <c r="E40" s="26">
        <f t="shared" si="32"/>
        <v>0</v>
      </c>
      <c r="F40" s="26">
        <f t="shared" si="33"/>
        <v>0</v>
      </c>
      <c r="G40" s="26">
        <f t="shared" si="34"/>
        <v>0</v>
      </c>
      <c r="H40" s="26">
        <f t="shared" si="35"/>
        <v>0</v>
      </c>
      <c r="I40" s="26">
        <f t="shared" si="36"/>
        <v>0</v>
      </c>
      <c r="J40" s="26">
        <f t="shared" si="37"/>
        <v>0</v>
      </c>
      <c r="K40" s="26">
        <f t="shared" si="38"/>
        <v>0</v>
      </c>
      <c r="L40" s="26">
        <f t="shared" si="39"/>
        <v>0</v>
      </c>
      <c r="N40" s="26">
        <v>0</v>
      </c>
    </row>
    <row r="41" spans="1:14" x14ac:dyDescent="0.25">
      <c r="A41" s="2" t="s">
        <v>42</v>
      </c>
      <c r="B41" s="2" t="s">
        <v>39</v>
      </c>
      <c r="C41" s="25">
        <f t="shared" si="30"/>
        <v>0</v>
      </c>
      <c r="D41" s="25">
        <f t="shared" si="31"/>
        <v>0</v>
      </c>
      <c r="E41" s="25">
        <f t="shared" si="32"/>
        <v>0</v>
      </c>
      <c r="F41" s="25">
        <f t="shared" si="33"/>
        <v>0</v>
      </c>
      <c r="G41" s="25">
        <f t="shared" si="34"/>
        <v>0</v>
      </c>
      <c r="H41" s="25">
        <f t="shared" si="35"/>
        <v>0</v>
      </c>
      <c r="I41" s="25">
        <f t="shared" si="36"/>
        <v>0</v>
      </c>
      <c r="J41" s="25">
        <f t="shared" si="37"/>
        <v>0</v>
      </c>
      <c r="K41" s="25">
        <f t="shared" si="38"/>
        <v>0</v>
      </c>
      <c r="L41" s="22">
        <f t="shared" si="39"/>
        <v>0</v>
      </c>
      <c r="N41" s="22">
        <v>0</v>
      </c>
    </row>
    <row r="42" spans="1:14" x14ac:dyDescent="0.25">
      <c r="A42" s="2" t="s">
        <v>43</v>
      </c>
      <c r="B42" s="2" t="s">
        <v>45</v>
      </c>
      <c r="C42" s="27">
        <f t="shared" si="30"/>
        <v>0</v>
      </c>
      <c r="D42" s="25">
        <f t="shared" si="31"/>
        <v>0</v>
      </c>
      <c r="E42" s="25">
        <f t="shared" si="32"/>
        <v>0</v>
      </c>
      <c r="F42" s="25">
        <f t="shared" si="33"/>
        <v>0</v>
      </c>
      <c r="G42" s="25">
        <f t="shared" si="34"/>
        <v>0</v>
      </c>
      <c r="H42" s="25">
        <f t="shared" si="35"/>
        <v>0</v>
      </c>
      <c r="I42" s="25">
        <f t="shared" si="36"/>
        <v>0</v>
      </c>
      <c r="J42" s="25">
        <f t="shared" si="37"/>
        <v>0</v>
      </c>
      <c r="K42" s="25">
        <f t="shared" si="38"/>
        <v>0</v>
      </c>
      <c r="L42" s="22">
        <f t="shared" si="39"/>
        <v>0</v>
      </c>
      <c r="N42" s="22">
        <v>0</v>
      </c>
    </row>
    <row r="43" spans="1:14" x14ac:dyDescent="0.25">
      <c r="A43" s="2" t="s">
        <v>46</v>
      </c>
      <c r="B43" s="2" t="s">
        <v>47</v>
      </c>
      <c r="C43" s="28">
        <f t="shared" si="30"/>
        <v>48</v>
      </c>
      <c r="D43" s="18">
        <f t="shared" si="31"/>
        <v>48</v>
      </c>
      <c r="E43" s="18">
        <f t="shared" si="32"/>
        <v>48</v>
      </c>
      <c r="F43" s="18">
        <f t="shared" si="33"/>
        <v>48</v>
      </c>
      <c r="G43" s="18">
        <f t="shared" si="34"/>
        <v>48</v>
      </c>
      <c r="H43" s="18">
        <f t="shared" si="35"/>
        <v>48</v>
      </c>
      <c r="I43" s="18">
        <f t="shared" si="36"/>
        <v>48</v>
      </c>
      <c r="J43" s="18">
        <f t="shared" si="37"/>
        <v>48</v>
      </c>
      <c r="K43" s="18">
        <f t="shared" si="38"/>
        <v>48</v>
      </c>
      <c r="L43" s="18">
        <f t="shared" si="39"/>
        <v>48</v>
      </c>
      <c r="N43" s="18">
        <v>48</v>
      </c>
    </row>
    <row r="44" spans="1:14" x14ac:dyDescent="0.25">
      <c r="A44" s="2" t="s">
        <v>48</v>
      </c>
      <c r="B44" s="2" t="s">
        <v>47</v>
      </c>
      <c r="C44" s="28">
        <f t="shared" si="30"/>
        <v>60</v>
      </c>
      <c r="D44" s="18">
        <f t="shared" si="31"/>
        <v>60</v>
      </c>
      <c r="E44" s="18">
        <f t="shared" si="32"/>
        <v>60</v>
      </c>
      <c r="F44" s="18">
        <f t="shared" si="33"/>
        <v>60</v>
      </c>
      <c r="G44" s="18">
        <f t="shared" si="34"/>
        <v>60</v>
      </c>
      <c r="H44" s="18">
        <f t="shared" si="35"/>
        <v>60</v>
      </c>
      <c r="I44" s="18">
        <f t="shared" si="36"/>
        <v>60</v>
      </c>
      <c r="J44" s="18">
        <f t="shared" si="37"/>
        <v>60</v>
      </c>
      <c r="K44" s="18">
        <f t="shared" si="38"/>
        <v>60</v>
      </c>
      <c r="L44" s="18">
        <f t="shared" si="39"/>
        <v>60</v>
      </c>
      <c r="N44" s="18">
        <v>60</v>
      </c>
    </row>
    <row r="45" spans="1:14" ht="18.75" x14ac:dyDescent="0.3">
      <c r="A45" s="3" t="s">
        <v>49</v>
      </c>
      <c r="J45" s="10"/>
      <c r="K45" s="10"/>
      <c r="L45" s="10"/>
    </row>
    <row r="46" spans="1:14" x14ac:dyDescent="0.25">
      <c r="A46" s="2" t="s">
        <v>50</v>
      </c>
      <c r="B46" s="2"/>
      <c r="C46" s="19">
        <f>N46</f>
        <v>18</v>
      </c>
      <c r="D46" s="19">
        <f>N46</f>
        <v>18</v>
      </c>
      <c r="E46" s="19">
        <f>N46</f>
        <v>18</v>
      </c>
      <c r="F46" s="19">
        <f>N46</f>
        <v>18</v>
      </c>
      <c r="G46" s="19">
        <f>N46</f>
        <v>18</v>
      </c>
      <c r="H46" s="19">
        <f>N46</f>
        <v>18</v>
      </c>
      <c r="I46" s="19">
        <f>N46</f>
        <v>18</v>
      </c>
      <c r="J46" s="19">
        <f>N46</f>
        <v>18</v>
      </c>
      <c r="K46" s="19">
        <f>N46</f>
        <v>18</v>
      </c>
      <c r="L46" s="19">
        <f>N46</f>
        <v>18</v>
      </c>
      <c r="N46" s="19">
        <v>18</v>
      </c>
    </row>
    <row r="47" spans="1:14" x14ac:dyDescent="0.25">
      <c r="A47" s="2" t="s">
        <v>52</v>
      </c>
      <c r="B47" s="2"/>
      <c r="C47" s="19">
        <f>N47</f>
        <v>30</v>
      </c>
      <c r="D47" s="19">
        <f>N47</f>
        <v>30</v>
      </c>
      <c r="E47" s="19">
        <f>N47</f>
        <v>30</v>
      </c>
      <c r="F47" s="19">
        <f>N47</f>
        <v>30</v>
      </c>
      <c r="G47" s="19">
        <f>N47</f>
        <v>30</v>
      </c>
      <c r="H47" s="19">
        <f>N47</f>
        <v>30</v>
      </c>
      <c r="I47" s="19">
        <f>N47</f>
        <v>30</v>
      </c>
      <c r="J47" s="19">
        <f>N47</f>
        <v>30</v>
      </c>
      <c r="K47" s="19">
        <f>N47</f>
        <v>30</v>
      </c>
      <c r="L47" s="19">
        <f>N47</f>
        <v>30</v>
      </c>
      <c r="N47" s="19">
        <v>30</v>
      </c>
    </row>
    <row r="48" spans="1:14" x14ac:dyDescent="0.25">
      <c r="A48" s="2" t="s">
        <v>53</v>
      </c>
      <c r="B48" s="2"/>
      <c r="C48" s="19">
        <f>N48</f>
        <v>6</v>
      </c>
      <c r="D48" s="19">
        <f>N48</f>
        <v>6</v>
      </c>
      <c r="E48" s="19">
        <f>N48</f>
        <v>6</v>
      </c>
      <c r="F48" s="19">
        <f>N48</f>
        <v>6</v>
      </c>
      <c r="G48" s="19">
        <f>N48</f>
        <v>6</v>
      </c>
      <c r="H48" s="19">
        <f>N48</f>
        <v>6</v>
      </c>
      <c r="I48" s="19">
        <f>N48</f>
        <v>6</v>
      </c>
      <c r="J48" s="19">
        <f>N48</f>
        <v>6</v>
      </c>
      <c r="K48" s="19">
        <f>N48</f>
        <v>6</v>
      </c>
      <c r="L48" s="19">
        <f>N48</f>
        <v>6</v>
      </c>
      <c r="N48" s="19">
        <v>6</v>
      </c>
    </row>
    <row r="49" spans="1:25 16384:16384" x14ac:dyDescent="0.25">
      <c r="A49" s="2" t="s">
        <v>54</v>
      </c>
      <c r="C49" s="19">
        <f>N49</f>
        <v>20</v>
      </c>
      <c r="D49" s="19">
        <f>N49</f>
        <v>20</v>
      </c>
      <c r="E49" s="19">
        <f>N49</f>
        <v>20</v>
      </c>
      <c r="F49" s="19">
        <f>N49</f>
        <v>20</v>
      </c>
      <c r="G49" s="19">
        <f>N49</f>
        <v>20</v>
      </c>
      <c r="H49" s="19">
        <f>N49</f>
        <v>20</v>
      </c>
      <c r="I49" s="19">
        <f>N49</f>
        <v>20</v>
      </c>
      <c r="J49" s="19">
        <f>N49</f>
        <v>20</v>
      </c>
      <c r="K49" s="19">
        <f>N49</f>
        <v>20</v>
      </c>
      <c r="L49" s="19">
        <f>N49</f>
        <v>20</v>
      </c>
      <c r="N49" s="19">
        <v>20</v>
      </c>
    </row>
    <row r="50" spans="1:25 16384:16384" x14ac:dyDescent="0.25">
      <c r="A50" s="13" t="s">
        <v>55</v>
      </c>
      <c r="C50" s="31">
        <f t="shared" ref="C50:L50" si="40">$N$50</f>
        <v>12.06</v>
      </c>
      <c r="D50" s="31">
        <f t="shared" si="40"/>
        <v>12.06</v>
      </c>
      <c r="E50" s="31">
        <f t="shared" si="40"/>
        <v>12.06</v>
      </c>
      <c r="F50" s="31">
        <f t="shared" si="40"/>
        <v>12.06</v>
      </c>
      <c r="G50" s="31">
        <f t="shared" si="40"/>
        <v>12.06</v>
      </c>
      <c r="H50" s="31">
        <f t="shared" si="40"/>
        <v>12.06</v>
      </c>
      <c r="I50" s="31">
        <f t="shared" si="40"/>
        <v>12.06</v>
      </c>
      <c r="J50" s="31">
        <f t="shared" si="40"/>
        <v>12.06</v>
      </c>
      <c r="K50" s="31">
        <f t="shared" si="40"/>
        <v>12.06</v>
      </c>
      <c r="L50" s="31">
        <f t="shared" si="40"/>
        <v>12.06</v>
      </c>
      <c r="N50" s="31">
        <v>12.06</v>
      </c>
      <c r="O50" s="19" t="s">
        <v>144</v>
      </c>
    </row>
    <row r="51" spans="1:25 16384:16384" x14ac:dyDescent="0.25">
      <c r="A51" s="13" t="s">
        <v>56</v>
      </c>
      <c r="C51" s="31">
        <f t="shared" ref="C51:L51" si="41">$N$51</f>
        <v>11.04</v>
      </c>
      <c r="D51" s="31">
        <f t="shared" si="41"/>
        <v>11.04</v>
      </c>
      <c r="E51" s="31">
        <f t="shared" si="41"/>
        <v>11.04</v>
      </c>
      <c r="F51" s="31">
        <f t="shared" si="41"/>
        <v>11.04</v>
      </c>
      <c r="G51" s="31">
        <f t="shared" si="41"/>
        <v>11.04</v>
      </c>
      <c r="H51" s="31">
        <f t="shared" si="41"/>
        <v>11.04</v>
      </c>
      <c r="I51" s="31">
        <f t="shared" si="41"/>
        <v>11.04</v>
      </c>
      <c r="J51" s="31">
        <f t="shared" si="41"/>
        <v>11.04</v>
      </c>
      <c r="K51" s="31">
        <f t="shared" si="41"/>
        <v>11.04</v>
      </c>
      <c r="L51" s="31">
        <f t="shared" si="41"/>
        <v>11.04</v>
      </c>
      <c r="N51" s="31">
        <v>11.04</v>
      </c>
    </row>
    <row r="52" spans="1:25 16384:16384" x14ac:dyDescent="0.25">
      <c r="A52" s="13" t="s">
        <v>63</v>
      </c>
      <c r="C52" s="19">
        <f>N52</f>
        <v>144</v>
      </c>
      <c r="D52" s="19">
        <f>N52</f>
        <v>144</v>
      </c>
      <c r="E52" s="19">
        <f>N52</f>
        <v>144</v>
      </c>
      <c r="F52" s="19">
        <f>N52</f>
        <v>144</v>
      </c>
      <c r="G52" s="19">
        <f>N52</f>
        <v>144</v>
      </c>
      <c r="H52" s="19">
        <f>N52</f>
        <v>144</v>
      </c>
      <c r="I52" s="19">
        <f>N52</f>
        <v>144</v>
      </c>
      <c r="J52" s="19">
        <f>N52</f>
        <v>144</v>
      </c>
      <c r="K52" s="19">
        <f>N52</f>
        <v>144</v>
      </c>
      <c r="L52" s="19">
        <f>N52</f>
        <v>144</v>
      </c>
      <c r="N52" s="19">
        <v>144</v>
      </c>
    </row>
    <row r="53" spans="1:25 16384:16384" x14ac:dyDescent="0.25">
      <c r="A53" s="13" t="s">
        <v>64</v>
      </c>
      <c r="C53" s="19">
        <f>N53</f>
        <v>240</v>
      </c>
      <c r="D53" s="19">
        <f>N53</f>
        <v>240</v>
      </c>
      <c r="E53" s="19">
        <f>N53</f>
        <v>240</v>
      </c>
      <c r="F53" s="19">
        <f>N53</f>
        <v>240</v>
      </c>
      <c r="G53" s="19">
        <f>N53</f>
        <v>240</v>
      </c>
      <c r="H53" s="19">
        <f>N53</f>
        <v>240</v>
      </c>
      <c r="I53" s="19">
        <f>N53</f>
        <v>240</v>
      </c>
      <c r="J53" s="19">
        <f>N53</f>
        <v>240</v>
      </c>
      <c r="K53" s="19">
        <f>N53</f>
        <v>240</v>
      </c>
      <c r="L53" s="19">
        <f>N53</f>
        <v>240</v>
      </c>
      <c r="N53" s="19">
        <v>240</v>
      </c>
    </row>
    <row r="54" spans="1:25 16384:16384" x14ac:dyDescent="0.25">
      <c r="A54" s="13" t="s">
        <v>65</v>
      </c>
      <c r="C54" s="31">
        <f t="shared" ref="C54:K54" si="42">$N$54</f>
        <v>1.0549999999999999</v>
      </c>
      <c r="D54" s="31">
        <f t="shared" si="42"/>
        <v>1.0549999999999999</v>
      </c>
      <c r="E54" s="31">
        <f t="shared" si="42"/>
        <v>1.0549999999999999</v>
      </c>
      <c r="F54" s="31">
        <f t="shared" si="42"/>
        <v>1.0549999999999999</v>
      </c>
      <c r="G54" s="31">
        <f t="shared" si="42"/>
        <v>1.0549999999999999</v>
      </c>
      <c r="H54" s="31">
        <f t="shared" si="42"/>
        <v>1.0549999999999999</v>
      </c>
      <c r="I54" s="31">
        <f t="shared" si="42"/>
        <v>1.0549999999999999</v>
      </c>
      <c r="J54" s="31">
        <f t="shared" si="42"/>
        <v>1.0549999999999999</v>
      </c>
      <c r="K54" s="31">
        <f t="shared" si="42"/>
        <v>1.0549999999999999</v>
      </c>
      <c r="L54" s="31">
        <f>$N$54</f>
        <v>1.0549999999999999</v>
      </c>
      <c r="N54" s="31">
        <v>1.0549999999999999</v>
      </c>
      <c r="P54" s="2"/>
      <c r="Q54" s="2"/>
      <c r="R54" s="2"/>
      <c r="S54" s="2"/>
      <c r="T54" s="2"/>
      <c r="U54" s="2"/>
      <c r="V54" s="2"/>
      <c r="W54" s="2"/>
      <c r="X54" s="2"/>
      <c r="Y54" s="2"/>
      <c r="XFD54" t="s">
        <v>143</v>
      </c>
    </row>
    <row r="55" spans="1:25 16384:16384" x14ac:dyDescent="0.25">
      <c r="A55" s="13" t="s">
        <v>66</v>
      </c>
      <c r="C55" s="31">
        <f>$N$55</f>
        <v>5.0999999999999996</v>
      </c>
      <c r="D55" s="31">
        <f t="shared" ref="D55:L55" si="43">$N$55</f>
        <v>5.0999999999999996</v>
      </c>
      <c r="E55" s="31">
        <f t="shared" si="43"/>
        <v>5.0999999999999996</v>
      </c>
      <c r="F55" s="31">
        <f t="shared" si="43"/>
        <v>5.0999999999999996</v>
      </c>
      <c r="G55" s="31">
        <f t="shared" si="43"/>
        <v>5.0999999999999996</v>
      </c>
      <c r="H55" s="31">
        <f t="shared" si="43"/>
        <v>5.0999999999999996</v>
      </c>
      <c r="I55" s="31">
        <f t="shared" si="43"/>
        <v>5.0999999999999996</v>
      </c>
      <c r="J55" s="31">
        <f t="shared" si="43"/>
        <v>5.0999999999999996</v>
      </c>
      <c r="K55" s="31">
        <f t="shared" si="43"/>
        <v>5.0999999999999996</v>
      </c>
      <c r="L55" s="31">
        <f t="shared" si="43"/>
        <v>5.0999999999999996</v>
      </c>
      <c r="N55" s="31">
        <v>5.0999999999999996</v>
      </c>
    </row>
    <row r="56" spans="1:25 16384:16384" x14ac:dyDescent="0.25">
      <c r="A56" s="4" t="s">
        <v>57</v>
      </c>
      <c r="C56" s="19">
        <f>N56</f>
        <v>5.27</v>
      </c>
      <c r="D56" s="19">
        <f>N56</f>
        <v>5.27</v>
      </c>
      <c r="E56" s="19">
        <f>N56</f>
        <v>5.27</v>
      </c>
      <c r="F56" s="19">
        <f>N56</f>
        <v>5.27</v>
      </c>
      <c r="G56" s="19">
        <f>N56</f>
        <v>5.27</v>
      </c>
      <c r="H56" s="19">
        <f>N56</f>
        <v>5.27</v>
      </c>
      <c r="I56" s="19">
        <f>N56</f>
        <v>5.27</v>
      </c>
      <c r="J56" s="19">
        <f>N56</f>
        <v>5.27</v>
      </c>
      <c r="K56" s="19">
        <f>N56</f>
        <v>5.27</v>
      </c>
      <c r="L56" s="19">
        <f>N56</f>
        <v>5.27</v>
      </c>
      <c r="N56" s="19">
        <v>5.27</v>
      </c>
    </row>
    <row r="57" spans="1:25 16384:16384" ht="18.75" x14ac:dyDescent="0.3">
      <c r="A57" s="3" t="s">
        <v>59</v>
      </c>
      <c r="J57" s="10"/>
      <c r="K57" s="10"/>
      <c r="L57" s="10"/>
      <c r="N57" s="19"/>
    </row>
    <row r="58" spans="1:25 16384:16384" x14ac:dyDescent="0.25">
      <c r="A58" s="2" t="s">
        <v>60</v>
      </c>
      <c r="C58" s="25">
        <f>N58</f>
        <v>0.81</v>
      </c>
      <c r="D58" s="25">
        <f>N58</f>
        <v>0.81</v>
      </c>
      <c r="E58" s="25">
        <f>N58</f>
        <v>0.81</v>
      </c>
      <c r="F58" s="25">
        <f>N58</f>
        <v>0.81</v>
      </c>
      <c r="G58" s="25">
        <f>N58</f>
        <v>0.81</v>
      </c>
      <c r="H58" s="25">
        <f>N58</f>
        <v>0.81</v>
      </c>
      <c r="I58" s="25">
        <f>N58</f>
        <v>0.81</v>
      </c>
      <c r="J58" s="25">
        <f>N58</f>
        <v>0.81</v>
      </c>
      <c r="K58" s="25">
        <f>N58</f>
        <v>0.81</v>
      </c>
      <c r="L58" s="22">
        <f>N58</f>
        <v>0.81</v>
      </c>
      <c r="N58" s="24">
        <v>0.81</v>
      </c>
    </row>
    <row r="59" spans="1:25 16384:16384" x14ac:dyDescent="0.25">
      <c r="A59" s="2" t="s">
        <v>61</v>
      </c>
      <c r="C59" s="25">
        <f>N59</f>
        <v>0.6</v>
      </c>
      <c r="D59" s="25">
        <f>N59</f>
        <v>0.6</v>
      </c>
      <c r="E59" s="25">
        <f>N59</f>
        <v>0.6</v>
      </c>
      <c r="F59" s="25">
        <f>N59</f>
        <v>0.6</v>
      </c>
      <c r="G59" s="25">
        <f>N59</f>
        <v>0.6</v>
      </c>
      <c r="H59" s="25">
        <f>N59</f>
        <v>0.6</v>
      </c>
      <c r="I59" s="25">
        <f>N59</f>
        <v>0.6</v>
      </c>
      <c r="J59" s="25">
        <f>N59</f>
        <v>0.6</v>
      </c>
      <c r="K59" s="25">
        <f>N59</f>
        <v>0.6</v>
      </c>
      <c r="L59" s="22">
        <f>N59</f>
        <v>0.6</v>
      </c>
      <c r="N59" s="24">
        <v>0.6</v>
      </c>
    </row>
    <row r="61" spans="1:25 16384:16384" x14ac:dyDescent="0.25">
      <c r="N61" s="19"/>
      <c r="O61" t="s">
        <v>145</v>
      </c>
    </row>
    <row r="62" spans="1:25 16384:16384" x14ac:dyDescent="0.25">
      <c r="O62" t="s">
        <v>146</v>
      </c>
    </row>
    <row r="63" spans="1:25 16384:16384" x14ac:dyDescent="0.25">
      <c r="O63" t="s">
        <v>147</v>
      </c>
    </row>
    <row r="65" spans="1:24" ht="26.25" x14ac:dyDescent="0.4">
      <c r="A65" s="73" t="s">
        <v>148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24" x14ac:dyDescent="0.25">
      <c r="Q66" s="69" t="s">
        <v>155</v>
      </c>
      <c r="R66" s="70"/>
      <c r="T66" s="74" t="s">
        <v>35</v>
      </c>
      <c r="U66" s="75"/>
      <c r="W66" s="74" t="s">
        <v>156</v>
      </c>
      <c r="X66" s="75"/>
    </row>
    <row r="67" spans="1:24" ht="21" x14ac:dyDescent="0.35">
      <c r="D67" s="53" t="s">
        <v>149</v>
      </c>
      <c r="E67" s="53"/>
      <c r="G67" s="32"/>
      <c r="H67" s="54" t="s">
        <v>150</v>
      </c>
      <c r="I67" s="54"/>
      <c r="Q67" s="34">
        <v>4.09</v>
      </c>
      <c r="R67" s="34">
        <v>100</v>
      </c>
      <c r="T67" s="34">
        <v>72</v>
      </c>
      <c r="U67" s="34">
        <v>100</v>
      </c>
      <c r="W67" s="34">
        <v>29</v>
      </c>
      <c r="X67" s="34">
        <v>100</v>
      </c>
    </row>
    <row r="68" spans="1:24" x14ac:dyDescent="0.25">
      <c r="C68" s="6" t="s">
        <v>151</v>
      </c>
      <c r="D68" s="6" t="s">
        <v>21</v>
      </c>
      <c r="E68" s="6" t="s">
        <v>152</v>
      </c>
      <c r="H68" s="6" t="s">
        <v>153</v>
      </c>
      <c r="I68" s="6" t="s">
        <v>154</v>
      </c>
      <c r="Q68" s="34">
        <v>4.1900000000000004</v>
      </c>
      <c r="R68" s="34">
        <v>95</v>
      </c>
      <c r="T68" s="34">
        <v>73</v>
      </c>
      <c r="U68" s="34">
        <v>95</v>
      </c>
      <c r="W68" s="34">
        <v>30</v>
      </c>
      <c r="X68" s="34">
        <v>95</v>
      </c>
    </row>
    <row r="69" spans="1:24" x14ac:dyDescent="0.25">
      <c r="C69" s="33" t="s">
        <v>1</v>
      </c>
      <c r="D69" s="33" t="s">
        <v>22</v>
      </c>
      <c r="E69" s="34">
        <f>N4</f>
        <v>4</v>
      </c>
      <c r="G69" s="33" t="s">
        <v>50</v>
      </c>
      <c r="H69" s="34">
        <f t="shared" ref="H69:H79" si="44">N46</f>
        <v>18</v>
      </c>
      <c r="I69" s="35">
        <f>(H69/21)*100</f>
        <v>85.714285714285708</v>
      </c>
      <c r="Q69" s="34">
        <v>4.29</v>
      </c>
      <c r="R69" s="34">
        <v>90</v>
      </c>
      <c r="T69" s="34">
        <v>74</v>
      </c>
      <c r="U69" s="34">
        <v>90</v>
      </c>
      <c r="W69" s="34">
        <v>31</v>
      </c>
      <c r="X69" s="34">
        <v>90</v>
      </c>
    </row>
    <row r="70" spans="1:24" x14ac:dyDescent="0.25">
      <c r="C70" s="33" t="s">
        <v>2</v>
      </c>
      <c r="D70" s="33" t="s">
        <v>22</v>
      </c>
      <c r="E70" s="34">
        <f>N5</f>
        <v>3</v>
      </c>
      <c r="G70" s="33" t="s">
        <v>157</v>
      </c>
      <c r="H70" s="34">
        <f t="shared" si="44"/>
        <v>30</v>
      </c>
      <c r="I70" s="35">
        <f>(H70/45)*100</f>
        <v>66.666666666666657</v>
      </c>
      <c r="Q70" s="34">
        <v>4.3899999999999997</v>
      </c>
      <c r="R70" s="34">
        <v>85</v>
      </c>
      <c r="T70" s="34">
        <v>75</v>
      </c>
      <c r="U70" s="34">
        <v>85</v>
      </c>
      <c r="W70" s="34">
        <v>32</v>
      </c>
      <c r="X70" s="34">
        <v>85</v>
      </c>
    </row>
    <row r="71" spans="1:24" x14ac:dyDescent="0.25">
      <c r="C71" s="33" t="s">
        <v>3</v>
      </c>
      <c r="D71" s="33" t="s">
        <v>22</v>
      </c>
      <c r="E71" s="34">
        <f>N6</f>
        <v>4</v>
      </c>
      <c r="G71" s="33" t="s">
        <v>158</v>
      </c>
      <c r="H71" s="34">
        <f t="shared" si="44"/>
        <v>6</v>
      </c>
      <c r="I71" s="35">
        <f>(H71/15)*100</f>
        <v>40</v>
      </c>
      <c r="Q71" s="34">
        <v>4.49</v>
      </c>
      <c r="R71" s="34">
        <v>80</v>
      </c>
      <c r="T71" s="34">
        <v>76</v>
      </c>
      <c r="U71" s="34">
        <v>80</v>
      </c>
      <c r="W71" s="34">
        <v>33</v>
      </c>
      <c r="X71" s="34">
        <v>80</v>
      </c>
    </row>
    <row r="72" spans="1:24" x14ac:dyDescent="0.25">
      <c r="C72" s="33" t="s">
        <v>4</v>
      </c>
      <c r="D72" s="33" t="s">
        <v>22</v>
      </c>
      <c r="E72" s="34">
        <f>N7</f>
        <v>1</v>
      </c>
      <c r="G72" s="62" t="s">
        <v>159</v>
      </c>
      <c r="H72" s="34">
        <f t="shared" si="44"/>
        <v>20</v>
      </c>
      <c r="I72" s="35">
        <f>(H72/45)*100</f>
        <v>44.444444444444443</v>
      </c>
      <c r="Q72" s="34">
        <v>4.59</v>
      </c>
      <c r="R72" s="34">
        <v>75</v>
      </c>
      <c r="T72" s="34">
        <v>77</v>
      </c>
      <c r="U72" s="34">
        <v>75</v>
      </c>
      <c r="W72" s="34">
        <v>34</v>
      </c>
      <c r="X72" s="34">
        <v>75</v>
      </c>
    </row>
    <row r="73" spans="1:24" x14ac:dyDescent="0.25">
      <c r="C73" s="33" t="s">
        <v>5</v>
      </c>
      <c r="D73" s="33" t="s">
        <v>22</v>
      </c>
      <c r="E73" s="34">
        <f>N7</f>
        <v>1</v>
      </c>
      <c r="G73" s="55" t="s">
        <v>160</v>
      </c>
      <c r="H73" s="56">
        <f t="shared" si="44"/>
        <v>12.06</v>
      </c>
      <c r="I73" s="35">
        <f>(H73/24)*100</f>
        <v>50.250000000000007</v>
      </c>
      <c r="Q73" s="34">
        <v>4.6900000000000004</v>
      </c>
      <c r="R73" s="34">
        <v>70</v>
      </c>
      <c r="T73" s="34">
        <v>78</v>
      </c>
      <c r="U73" s="34">
        <v>70</v>
      </c>
      <c r="W73" s="34">
        <v>35</v>
      </c>
      <c r="X73" s="34">
        <v>70</v>
      </c>
    </row>
    <row r="74" spans="1:24" x14ac:dyDescent="0.25">
      <c r="C74" s="33" t="s">
        <v>6</v>
      </c>
      <c r="D74" s="33" t="s">
        <v>1</v>
      </c>
      <c r="E74" s="34">
        <f>N8</f>
        <v>3</v>
      </c>
      <c r="G74" s="63" t="s">
        <v>161</v>
      </c>
      <c r="H74" s="56">
        <f t="shared" si="44"/>
        <v>11.04</v>
      </c>
      <c r="I74" s="35">
        <f>(H74/24)*100</f>
        <v>46</v>
      </c>
      <c r="Q74" s="34">
        <v>4.79</v>
      </c>
      <c r="R74" s="34">
        <v>65</v>
      </c>
      <c r="T74" s="34">
        <v>79</v>
      </c>
      <c r="U74" s="34">
        <v>65</v>
      </c>
      <c r="W74" s="34">
        <v>36</v>
      </c>
      <c r="X74" s="34">
        <v>65</v>
      </c>
    </row>
    <row r="75" spans="1:24" x14ac:dyDescent="0.25">
      <c r="C75" s="33" t="s">
        <v>7</v>
      </c>
      <c r="D75" s="33" t="s">
        <v>2</v>
      </c>
      <c r="E75" s="34">
        <f>N9</f>
        <v>1</v>
      </c>
      <c r="G75" s="33" t="s">
        <v>162</v>
      </c>
      <c r="H75" s="34">
        <f t="shared" si="44"/>
        <v>144</v>
      </c>
      <c r="I75" s="35">
        <f>(H75/240)*100</f>
        <v>60</v>
      </c>
      <c r="Q75" s="34">
        <v>4.8899999999999997</v>
      </c>
      <c r="R75" s="34">
        <v>60</v>
      </c>
      <c r="T75" s="34">
        <v>80</v>
      </c>
      <c r="U75" s="34">
        <v>60</v>
      </c>
      <c r="W75" s="34">
        <v>37</v>
      </c>
      <c r="X75" s="34">
        <v>60</v>
      </c>
    </row>
    <row r="76" spans="1:24" x14ac:dyDescent="0.25">
      <c r="D76" s="36" t="s">
        <v>163</v>
      </c>
      <c r="E76" s="34">
        <f>SUM(E69:E75)</f>
        <v>17</v>
      </c>
      <c r="G76" s="33" t="s">
        <v>164</v>
      </c>
      <c r="H76" s="34">
        <f t="shared" si="44"/>
        <v>240</v>
      </c>
      <c r="I76" s="35">
        <f>(H76/240)*100</f>
        <v>100</v>
      </c>
      <c r="Q76" s="34">
        <v>4.99</v>
      </c>
      <c r="R76" s="34">
        <v>55</v>
      </c>
      <c r="T76" s="34">
        <v>81</v>
      </c>
      <c r="U76" s="34">
        <v>55</v>
      </c>
      <c r="W76" s="34">
        <v>38</v>
      </c>
      <c r="X76" s="34">
        <v>55</v>
      </c>
    </row>
    <row r="77" spans="1:24" x14ac:dyDescent="0.25">
      <c r="E77" s="19"/>
      <c r="G77" s="33" t="s">
        <v>165</v>
      </c>
      <c r="H77" s="56">
        <f t="shared" si="44"/>
        <v>1.0549999999999999</v>
      </c>
      <c r="I77" s="35">
        <f>(H77/2.04)*100</f>
        <v>51.7156862745098</v>
      </c>
      <c r="Q77" s="34">
        <v>5.0900000000000096</v>
      </c>
      <c r="R77" s="34">
        <v>50</v>
      </c>
      <c r="T77" s="34">
        <v>82</v>
      </c>
      <c r="U77" s="34">
        <v>50</v>
      </c>
      <c r="W77" s="34">
        <v>39</v>
      </c>
      <c r="X77" s="34">
        <v>50</v>
      </c>
    </row>
    <row r="78" spans="1:24" x14ac:dyDescent="0.25">
      <c r="C78" s="6" t="s">
        <v>8</v>
      </c>
      <c r="D78" s="6" t="s">
        <v>21</v>
      </c>
      <c r="E78" s="6" t="s">
        <v>166</v>
      </c>
      <c r="G78" s="37" t="s">
        <v>167</v>
      </c>
      <c r="H78" s="57">
        <f t="shared" si="44"/>
        <v>5.0999999999999996</v>
      </c>
      <c r="I78" s="39">
        <f>(H78/8)*100</f>
        <v>63.749999999999993</v>
      </c>
      <c r="Q78" s="34">
        <v>5.1900000000000102</v>
      </c>
      <c r="R78" s="34">
        <v>45</v>
      </c>
      <c r="T78" s="34">
        <v>83</v>
      </c>
      <c r="U78" s="34">
        <v>45</v>
      </c>
      <c r="W78" s="34">
        <v>40</v>
      </c>
      <c r="X78" s="34">
        <v>45</v>
      </c>
    </row>
    <row r="79" spans="1:24" x14ac:dyDescent="0.25">
      <c r="C79" s="33" t="s">
        <v>10</v>
      </c>
      <c r="D79" s="33" t="s">
        <v>2</v>
      </c>
      <c r="E79" s="34">
        <f t="shared" ref="E79:E89" si="45">N12</f>
        <v>4</v>
      </c>
      <c r="G79" s="40" t="s">
        <v>168</v>
      </c>
      <c r="H79" s="34">
        <f t="shared" si="44"/>
        <v>5.27</v>
      </c>
      <c r="I79" s="39">
        <v>40</v>
      </c>
      <c r="Q79" s="34">
        <v>5.2900000000000098</v>
      </c>
      <c r="R79" s="34">
        <v>40</v>
      </c>
      <c r="T79" s="34">
        <v>84</v>
      </c>
      <c r="U79" s="34">
        <v>40</v>
      </c>
      <c r="W79" s="34">
        <v>41</v>
      </c>
      <c r="X79" s="34">
        <v>40</v>
      </c>
    </row>
    <row r="80" spans="1:24" x14ac:dyDescent="0.25">
      <c r="C80" s="33" t="s">
        <v>9</v>
      </c>
      <c r="D80" s="33" t="s">
        <v>2</v>
      </c>
      <c r="E80" s="34">
        <f t="shared" si="45"/>
        <v>3</v>
      </c>
      <c r="G80" s="10"/>
      <c r="H80" s="41" t="s">
        <v>169</v>
      </c>
      <c r="I80" s="42">
        <f>SUM(H69:H78)+(I79)</f>
        <v>527.25500000000011</v>
      </c>
      <c r="Q80" s="34">
        <v>5.3900000000000103</v>
      </c>
      <c r="R80" s="34">
        <v>35</v>
      </c>
      <c r="T80" s="34">
        <v>85</v>
      </c>
      <c r="U80" s="34">
        <v>35</v>
      </c>
      <c r="W80" s="34">
        <v>42</v>
      </c>
      <c r="X80" s="34">
        <v>35</v>
      </c>
    </row>
    <row r="81" spans="3:24" x14ac:dyDescent="0.25">
      <c r="C81" s="33" t="s">
        <v>11</v>
      </c>
      <c r="D81" s="33" t="s">
        <v>72</v>
      </c>
      <c r="E81" s="34">
        <f t="shared" si="45"/>
        <v>1</v>
      </c>
      <c r="H81" s="43" t="s">
        <v>170</v>
      </c>
      <c r="I81" s="44">
        <f>(I80/790)*33</f>
        <v>22.024575949367094</v>
      </c>
      <c r="Q81" s="34">
        <v>5.49000000000001</v>
      </c>
      <c r="R81" s="34">
        <v>30</v>
      </c>
      <c r="T81" s="34">
        <v>86</v>
      </c>
      <c r="U81" s="34">
        <v>30</v>
      </c>
      <c r="W81" s="34">
        <v>43</v>
      </c>
      <c r="X81" s="34">
        <v>30</v>
      </c>
    </row>
    <row r="82" spans="3:24" ht="15" customHeight="1" x14ac:dyDescent="0.35">
      <c r="C82" s="33" t="s">
        <v>12</v>
      </c>
      <c r="D82" s="33" t="s">
        <v>23</v>
      </c>
      <c r="E82" s="34">
        <f t="shared" si="45"/>
        <v>0</v>
      </c>
      <c r="G82" s="45"/>
      <c r="H82" s="46"/>
      <c r="I82" s="46"/>
      <c r="Q82" s="34">
        <v>5.5900000000000096</v>
      </c>
      <c r="R82" s="34">
        <v>25</v>
      </c>
      <c r="T82" s="34">
        <v>87</v>
      </c>
      <c r="U82" s="34">
        <v>25</v>
      </c>
      <c r="W82" s="34">
        <v>44</v>
      </c>
      <c r="X82" s="34">
        <v>25</v>
      </c>
    </row>
    <row r="83" spans="3:24" ht="15" customHeight="1" x14ac:dyDescent="0.25">
      <c r="C83" s="33" t="s">
        <v>13</v>
      </c>
      <c r="D83" s="33" t="s">
        <v>23</v>
      </c>
      <c r="E83" s="34">
        <f t="shared" si="45"/>
        <v>2</v>
      </c>
      <c r="G83" s="68" t="s">
        <v>171</v>
      </c>
      <c r="H83" s="68"/>
      <c r="I83" s="68"/>
      <c r="Q83" s="34">
        <v>5.6900000000000102</v>
      </c>
      <c r="R83" s="34">
        <v>20</v>
      </c>
      <c r="T83" s="34">
        <v>88</v>
      </c>
      <c r="U83" s="34">
        <v>20</v>
      </c>
      <c r="W83" s="34">
        <v>45</v>
      </c>
      <c r="X83" s="34">
        <v>20</v>
      </c>
    </row>
    <row r="84" spans="3:24" ht="15" customHeight="1" x14ac:dyDescent="0.25">
      <c r="C84" s="33" t="s">
        <v>14</v>
      </c>
      <c r="D84" s="33" t="s">
        <v>23</v>
      </c>
      <c r="E84" s="34">
        <f t="shared" si="45"/>
        <v>1</v>
      </c>
      <c r="G84" s="68"/>
      <c r="H84" s="68"/>
      <c r="I84" s="68"/>
      <c r="Q84" s="34">
        <v>5.7900000000000098</v>
      </c>
      <c r="R84" s="34">
        <v>15</v>
      </c>
      <c r="T84" s="34">
        <v>89</v>
      </c>
      <c r="U84" s="34">
        <v>15</v>
      </c>
      <c r="W84" s="34">
        <v>46</v>
      </c>
      <c r="X84" s="34">
        <v>15</v>
      </c>
    </row>
    <row r="85" spans="3:24" x14ac:dyDescent="0.25">
      <c r="C85" s="33" t="s">
        <v>15</v>
      </c>
      <c r="D85" s="33" t="s">
        <v>6</v>
      </c>
      <c r="E85" s="34">
        <f t="shared" si="45"/>
        <v>2</v>
      </c>
      <c r="G85" s="10"/>
      <c r="H85" s="47" t="s">
        <v>172</v>
      </c>
      <c r="I85" s="47" t="s">
        <v>154</v>
      </c>
      <c r="Q85" s="34">
        <v>5.8900000000000103</v>
      </c>
      <c r="R85" s="34">
        <v>10</v>
      </c>
      <c r="T85" s="34">
        <v>90</v>
      </c>
      <c r="U85" s="34">
        <v>10</v>
      </c>
      <c r="W85" s="34">
        <v>47</v>
      </c>
      <c r="X85" s="34">
        <v>10</v>
      </c>
    </row>
    <row r="86" spans="3:24" x14ac:dyDescent="0.25">
      <c r="C86" s="33" t="s">
        <v>173</v>
      </c>
      <c r="D86" s="33" t="s">
        <v>6</v>
      </c>
      <c r="E86" s="34">
        <f t="shared" si="45"/>
        <v>2</v>
      </c>
      <c r="G86" s="37" t="s">
        <v>35</v>
      </c>
      <c r="H86" s="38">
        <f t="shared" ref="H86:H94" si="46">N36</f>
        <v>0</v>
      </c>
      <c r="I86" s="39">
        <v>0</v>
      </c>
      <c r="Q86" s="34">
        <v>5.99000000000001</v>
      </c>
      <c r="R86" s="34">
        <v>5</v>
      </c>
      <c r="T86" s="34">
        <v>91</v>
      </c>
      <c r="U86" s="34">
        <v>5</v>
      </c>
      <c r="W86" s="34">
        <v>48</v>
      </c>
      <c r="X86" s="34">
        <v>5</v>
      </c>
    </row>
    <row r="87" spans="3:24" x14ac:dyDescent="0.25">
      <c r="C87" s="33" t="s">
        <v>17</v>
      </c>
      <c r="D87" s="33" t="s">
        <v>6</v>
      </c>
      <c r="E87" s="34">
        <f t="shared" si="45"/>
        <v>2</v>
      </c>
      <c r="G87" s="61" t="s">
        <v>174</v>
      </c>
      <c r="H87" s="60">
        <f t="shared" si="46"/>
        <v>0</v>
      </c>
      <c r="I87" s="39">
        <f>(H87/60%)*100</f>
        <v>0</v>
      </c>
    </row>
    <row r="88" spans="3:24" x14ac:dyDescent="0.25">
      <c r="C88" s="33" t="s">
        <v>18</v>
      </c>
      <c r="D88" s="33" t="s">
        <v>24</v>
      </c>
      <c r="E88" s="34">
        <f t="shared" si="45"/>
        <v>4</v>
      </c>
      <c r="G88" s="37" t="s">
        <v>175</v>
      </c>
      <c r="H88" s="60">
        <f t="shared" si="46"/>
        <v>0</v>
      </c>
      <c r="I88" s="39">
        <f>(H88/50%)*100</f>
        <v>0</v>
      </c>
      <c r="Q88" s="69" t="s">
        <v>177</v>
      </c>
      <c r="R88" s="70"/>
      <c r="T88" s="69" t="s">
        <v>178</v>
      </c>
      <c r="U88" s="70"/>
      <c r="W88" s="69" t="s">
        <v>179</v>
      </c>
      <c r="X88" s="70"/>
    </row>
    <row r="89" spans="3:24" x14ac:dyDescent="0.25">
      <c r="C89" s="33" t="s">
        <v>176</v>
      </c>
      <c r="D89" s="33" t="s">
        <v>23</v>
      </c>
      <c r="E89" s="34">
        <f t="shared" si="45"/>
        <v>1</v>
      </c>
      <c r="G89" s="37" t="s">
        <v>156</v>
      </c>
      <c r="H89" s="38">
        <f t="shared" si="46"/>
        <v>0</v>
      </c>
      <c r="I89" s="39">
        <v>0</v>
      </c>
      <c r="Q89" s="34">
        <v>1.67</v>
      </c>
      <c r="R89" s="34">
        <v>100</v>
      </c>
      <c r="T89" s="34">
        <v>43</v>
      </c>
      <c r="U89" s="34">
        <v>100</v>
      </c>
      <c r="W89" s="34">
        <v>47</v>
      </c>
      <c r="X89" s="34">
        <v>100</v>
      </c>
    </row>
    <row r="90" spans="3:24" x14ac:dyDescent="0.25">
      <c r="D90" s="36" t="s">
        <v>163</v>
      </c>
      <c r="E90" s="34">
        <f>SUM(E79:E89)</f>
        <v>22</v>
      </c>
      <c r="G90" s="37" t="s">
        <v>177</v>
      </c>
      <c r="H90" s="59">
        <f t="shared" si="46"/>
        <v>0</v>
      </c>
      <c r="I90" s="39">
        <v>0</v>
      </c>
      <c r="Q90" s="34">
        <v>1.77</v>
      </c>
      <c r="R90" s="34">
        <v>95</v>
      </c>
      <c r="T90" s="34">
        <v>45</v>
      </c>
      <c r="U90" s="34">
        <v>95</v>
      </c>
      <c r="W90" s="34">
        <v>49</v>
      </c>
      <c r="X90" s="34">
        <v>95</v>
      </c>
    </row>
    <row r="91" spans="3:24" x14ac:dyDescent="0.25">
      <c r="E91" s="19"/>
      <c r="G91" s="37" t="s">
        <v>180</v>
      </c>
      <c r="H91" s="58">
        <f t="shared" si="46"/>
        <v>0</v>
      </c>
      <c r="I91" s="39">
        <f>(H91/40%)*100</f>
        <v>0</v>
      </c>
      <c r="Q91" s="34">
        <v>1.87</v>
      </c>
      <c r="R91" s="34">
        <v>90</v>
      </c>
      <c r="T91" s="34">
        <v>47</v>
      </c>
      <c r="U91" s="34">
        <v>90</v>
      </c>
      <c r="W91" s="34">
        <v>51</v>
      </c>
      <c r="X91" s="34">
        <v>90</v>
      </c>
    </row>
    <row r="92" spans="3:24" x14ac:dyDescent="0.25">
      <c r="C92" s="6" t="s">
        <v>181</v>
      </c>
      <c r="D92" s="6" t="s">
        <v>21</v>
      </c>
      <c r="E92" s="6" t="s">
        <v>152</v>
      </c>
      <c r="G92" s="37" t="s">
        <v>182</v>
      </c>
      <c r="H92" s="58">
        <f t="shared" si="46"/>
        <v>0</v>
      </c>
      <c r="I92" s="39">
        <f>(H92/81%)*100</f>
        <v>0</v>
      </c>
      <c r="Q92" s="34">
        <v>2</v>
      </c>
      <c r="R92" s="34">
        <v>85</v>
      </c>
      <c r="T92" s="34">
        <v>49</v>
      </c>
      <c r="U92" s="34">
        <v>85</v>
      </c>
      <c r="W92" s="34">
        <v>53</v>
      </c>
      <c r="X92" s="34">
        <v>85</v>
      </c>
    </row>
    <row r="93" spans="3:24" x14ac:dyDescent="0.25">
      <c r="C93" s="33" t="s">
        <v>11</v>
      </c>
      <c r="D93" s="33" t="s">
        <v>23</v>
      </c>
      <c r="E93" s="34">
        <f>N24</f>
        <v>3</v>
      </c>
      <c r="G93" s="37" t="s">
        <v>183</v>
      </c>
      <c r="H93" s="38">
        <f t="shared" si="46"/>
        <v>48</v>
      </c>
      <c r="I93" s="39">
        <v>87.5</v>
      </c>
      <c r="Q93" s="34">
        <v>2.0699999999999998</v>
      </c>
      <c r="R93" s="34">
        <v>80</v>
      </c>
      <c r="T93" s="34">
        <v>51</v>
      </c>
      <c r="U93" s="34">
        <v>80</v>
      </c>
      <c r="W93" s="34">
        <v>55</v>
      </c>
      <c r="X93" s="34">
        <v>80</v>
      </c>
    </row>
    <row r="94" spans="3:24" x14ac:dyDescent="0.25">
      <c r="C94" s="33" t="s">
        <v>20</v>
      </c>
      <c r="D94" s="33" t="s">
        <v>6</v>
      </c>
      <c r="E94" s="34">
        <f>N25</f>
        <v>2</v>
      </c>
      <c r="G94" s="37" t="s">
        <v>184</v>
      </c>
      <c r="H94" s="38">
        <f t="shared" si="46"/>
        <v>60</v>
      </c>
      <c r="I94" s="39">
        <v>67.5</v>
      </c>
      <c r="Q94" s="34">
        <v>2.1850000000000001</v>
      </c>
      <c r="R94" s="34">
        <v>75</v>
      </c>
      <c r="T94" s="34">
        <v>53</v>
      </c>
      <c r="U94" s="34">
        <v>75</v>
      </c>
      <c r="W94" s="34">
        <v>57</v>
      </c>
      <c r="X94" s="34">
        <v>75</v>
      </c>
    </row>
    <row r="95" spans="3:24" x14ac:dyDescent="0.25">
      <c r="D95" s="36" t="s">
        <v>185</v>
      </c>
      <c r="E95" s="34">
        <f>SUM(E93:E94)</f>
        <v>5</v>
      </c>
      <c r="H95" s="48" t="s">
        <v>169</v>
      </c>
      <c r="I95" s="49">
        <f>SUM(I86:I94)</f>
        <v>155</v>
      </c>
      <c r="Q95" s="34">
        <v>2.2879999999999998</v>
      </c>
      <c r="R95" s="34">
        <v>70</v>
      </c>
      <c r="T95" s="34">
        <v>55</v>
      </c>
      <c r="U95" s="34">
        <v>70</v>
      </c>
      <c r="W95" s="34">
        <v>59</v>
      </c>
      <c r="X95" s="34">
        <v>70</v>
      </c>
    </row>
    <row r="96" spans="3:24" x14ac:dyDescent="0.25">
      <c r="E96" s="19"/>
      <c r="H96" s="43" t="s">
        <v>186</v>
      </c>
      <c r="I96" s="44">
        <f>(I95/900)*33</f>
        <v>5.6833333333333336</v>
      </c>
      <c r="Q96" s="34">
        <v>2.391</v>
      </c>
      <c r="R96" s="34">
        <v>65</v>
      </c>
      <c r="T96" s="34">
        <v>57</v>
      </c>
      <c r="U96" s="34">
        <v>65</v>
      </c>
      <c r="W96" s="34">
        <v>61</v>
      </c>
      <c r="X96" s="34">
        <v>65</v>
      </c>
    </row>
    <row r="97" spans="3:24" x14ac:dyDescent="0.25">
      <c r="C97" s="6" t="s">
        <v>25</v>
      </c>
      <c r="D97" s="6" t="s">
        <v>187</v>
      </c>
      <c r="E97" s="6" t="s">
        <v>188</v>
      </c>
      <c r="Q97" s="34">
        <v>2.4940000000000002</v>
      </c>
      <c r="R97" s="34">
        <v>60</v>
      </c>
      <c r="T97" s="34">
        <v>59</v>
      </c>
      <c r="U97" s="34">
        <v>60</v>
      </c>
      <c r="W97" s="34">
        <v>63</v>
      </c>
      <c r="X97" s="34">
        <v>60</v>
      </c>
    </row>
    <row r="98" spans="3:24" x14ac:dyDescent="0.25">
      <c r="C98" s="33" t="s">
        <v>189</v>
      </c>
      <c r="D98" s="33" t="s">
        <v>14</v>
      </c>
      <c r="E98" s="34">
        <f>N27</f>
        <v>6</v>
      </c>
      <c r="G98" s="1" t="s">
        <v>190</v>
      </c>
      <c r="H98" s="1"/>
      <c r="I98" s="1"/>
      <c r="Q98" s="34">
        <v>2.597</v>
      </c>
      <c r="R98" s="34">
        <v>55</v>
      </c>
      <c r="T98" s="34">
        <v>61</v>
      </c>
      <c r="U98" s="34">
        <v>55</v>
      </c>
      <c r="W98" s="34">
        <v>65</v>
      </c>
      <c r="X98" s="34">
        <v>55</v>
      </c>
    </row>
    <row r="99" spans="3:24" x14ac:dyDescent="0.25">
      <c r="C99" s="33" t="s">
        <v>191</v>
      </c>
      <c r="D99" s="33" t="s">
        <v>13</v>
      </c>
      <c r="E99" s="34">
        <f>N28</f>
        <v>6</v>
      </c>
      <c r="G99" s="2" t="s">
        <v>192</v>
      </c>
      <c r="Q99" s="34">
        <v>2.7</v>
      </c>
      <c r="R99" s="34">
        <v>50</v>
      </c>
      <c r="T99" s="34">
        <v>63</v>
      </c>
      <c r="U99" s="34">
        <v>50</v>
      </c>
      <c r="W99" s="34">
        <v>67</v>
      </c>
      <c r="X99" s="34">
        <v>50</v>
      </c>
    </row>
    <row r="100" spans="3:24" x14ac:dyDescent="0.25">
      <c r="C100" s="33" t="s">
        <v>193</v>
      </c>
      <c r="D100" s="33" t="s">
        <v>12</v>
      </c>
      <c r="E100" s="34">
        <f>N29</f>
        <v>6</v>
      </c>
      <c r="G100" s="2" t="s">
        <v>194</v>
      </c>
      <c r="Q100" s="34">
        <v>2.8029999999999999</v>
      </c>
      <c r="R100" s="34">
        <v>45</v>
      </c>
      <c r="T100" s="34">
        <v>65</v>
      </c>
      <c r="U100" s="34">
        <v>45</v>
      </c>
      <c r="W100" s="34">
        <v>69</v>
      </c>
      <c r="X100" s="34">
        <v>45</v>
      </c>
    </row>
    <row r="101" spans="3:24" x14ac:dyDescent="0.25">
      <c r="E101" s="50" t="s">
        <v>166</v>
      </c>
      <c r="G101" s="2" t="s">
        <v>195</v>
      </c>
      <c r="Q101" s="34">
        <v>2.9060000000000001</v>
      </c>
      <c r="R101" s="34">
        <v>40</v>
      </c>
      <c r="T101" s="34">
        <v>67</v>
      </c>
      <c r="U101" s="34">
        <v>40</v>
      </c>
      <c r="W101" s="34">
        <v>71</v>
      </c>
      <c r="X101" s="34">
        <v>40</v>
      </c>
    </row>
    <row r="102" spans="3:24" x14ac:dyDescent="0.25">
      <c r="C102" s="33" t="s">
        <v>29</v>
      </c>
      <c r="D102" s="33" t="s">
        <v>12</v>
      </c>
      <c r="E102" s="34">
        <f>N30</f>
        <v>3</v>
      </c>
      <c r="G102" s="2" t="s">
        <v>196</v>
      </c>
      <c r="H102" s="66" t="s">
        <v>204</v>
      </c>
      <c r="Q102" s="34">
        <v>3.0089999999999999</v>
      </c>
      <c r="R102" s="34">
        <v>35</v>
      </c>
      <c r="T102" s="34">
        <v>69</v>
      </c>
      <c r="U102" s="34">
        <v>35</v>
      </c>
      <c r="W102" s="34">
        <v>73</v>
      </c>
      <c r="X102" s="34">
        <v>35</v>
      </c>
    </row>
    <row r="103" spans="3:24" x14ac:dyDescent="0.25">
      <c r="C103" s="33" t="s">
        <v>30</v>
      </c>
      <c r="D103" s="33" t="s">
        <v>12</v>
      </c>
      <c r="E103" s="34">
        <f>N31</f>
        <v>2</v>
      </c>
      <c r="G103" s="2" t="s">
        <v>197</v>
      </c>
      <c r="H103" s="51">
        <f>1+E111+I81+I96</f>
        <v>48.293275136358972</v>
      </c>
      <c r="Q103" s="34">
        <v>3.1120000000000001</v>
      </c>
      <c r="R103" s="34">
        <v>30</v>
      </c>
      <c r="T103" s="34">
        <v>71</v>
      </c>
      <c r="U103" s="34">
        <v>30</v>
      </c>
      <c r="W103" s="34">
        <v>75</v>
      </c>
      <c r="X103" s="34">
        <v>30</v>
      </c>
    </row>
    <row r="104" spans="3:24" x14ac:dyDescent="0.25">
      <c r="C104" s="33" t="s">
        <v>31</v>
      </c>
      <c r="D104" s="33" t="s">
        <v>11</v>
      </c>
      <c r="E104" s="34">
        <f>N32</f>
        <v>4</v>
      </c>
      <c r="Q104" s="34">
        <v>3.2149999999999999</v>
      </c>
      <c r="R104" s="34">
        <v>25</v>
      </c>
      <c r="T104" s="34">
        <v>73</v>
      </c>
      <c r="U104" s="34">
        <v>25</v>
      </c>
      <c r="W104" s="34">
        <v>77</v>
      </c>
      <c r="X104" s="34">
        <v>25</v>
      </c>
    </row>
    <row r="105" spans="3:24" x14ac:dyDescent="0.25">
      <c r="C105" s="33" t="s">
        <v>32</v>
      </c>
      <c r="D105" s="33" t="s">
        <v>11</v>
      </c>
      <c r="E105" s="34">
        <f>N33</f>
        <v>0</v>
      </c>
      <c r="Q105" s="34">
        <v>3.3180000000000001</v>
      </c>
      <c r="R105" s="34">
        <v>20</v>
      </c>
      <c r="T105" s="34">
        <v>75</v>
      </c>
      <c r="U105" s="34">
        <v>20</v>
      </c>
      <c r="W105" s="34">
        <v>79</v>
      </c>
      <c r="X105" s="34">
        <v>20</v>
      </c>
    </row>
    <row r="106" spans="3:24" x14ac:dyDescent="0.25">
      <c r="D106" s="48"/>
      <c r="E106" s="50" t="s">
        <v>198</v>
      </c>
      <c r="Q106" s="34">
        <v>3.4209999999999998</v>
      </c>
      <c r="R106" s="34">
        <v>15</v>
      </c>
      <c r="T106" s="34">
        <v>77</v>
      </c>
      <c r="U106" s="34">
        <v>15</v>
      </c>
      <c r="W106" s="34">
        <v>81</v>
      </c>
      <c r="X106" s="34">
        <v>15</v>
      </c>
    </row>
    <row r="107" spans="3:24" x14ac:dyDescent="0.25">
      <c r="C107" s="64" t="s">
        <v>199</v>
      </c>
      <c r="D107" s="52" t="s">
        <v>12</v>
      </c>
      <c r="E107" s="34">
        <f>N34</f>
        <v>2</v>
      </c>
      <c r="Q107" s="34">
        <v>3.524</v>
      </c>
      <c r="R107" s="34">
        <v>10</v>
      </c>
      <c r="T107" s="34">
        <v>79</v>
      </c>
      <c r="U107" s="34">
        <v>10</v>
      </c>
      <c r="W107" s="34">
        <v>83</v>
      </c>
      <c r="X107" s="34">
        <v>10</v>
      </c>
    </row>
    <row r="108" spans="3:24" x14ac:dyDescent="0.25">
      <c r="D108" s="36" t="s">
        <v>185</v>
      </c>
      <c r="E108" s="34">
        <f>SUM(E98:E107)</f>
        <v>29</v>
      </c>
      <c r="Q108" s="34">
        <v>3.6269999999999998</v>
      </c>
      <c r="R108" s="34">
        <v>5</v>
      </c>
      <c r="T108" s="34">
        <v>81</v>
      </c>
      <c r="U108" s="34">
        <v>5</v>
      </c>
      <c r="W108" s="34">
        <v>85</v>
      </c>
      <c r="X108" s="34">
        <v>5</v>
      </c>
    </row>
    <row r="110" spans="3:24" x14ac:dyDescent="0.25">
      <c r="D110" s="36" t="s">
        <v>200</v>
      </c>
      <c r="E110" s="6">
        <f>SUM(E76+E90+E95+E108)</f>
        <v>73</v>
      </c>
    </row>
    <row r="111" spans="3:24" x14ac:dyDescent="0.25">
      <c r="D111" s="43" t="s">
        <v>201</v>
      </c>
      <c r="E111" s="44">
        <f>(E110/123)*33</f>
        <v>19.585365853658537</v>
      </c>
    </row>
  </sheetData>
  <autoFilter ref="A3:L59"/>
  <mergeCells count="10">
    <mergeCell ref="G83:I84"/>
    <mergeCell ref="Q88:R88"/>
    <mergeCell ref="T88:U88"/>
    <mergeCell ref="W88:X88"/>
    <mergeCell ref="A1:O1"/>
    <mergeCell ref="N2:O2"/>
    <mergeCell ref="A65:L65"/>
    <mergeCell ref="Q66:R66"/>
    <mergeCell ref="T66:U66"/>
    <mergeCell ref="W66:X66"/>
  </mergeCells>
  <conditionalFormatting sqref="C4">
    <cfRule type="cellIs" dxfId="1835" priority="603" operator="greaterThan">
      <formula>3</formula>
    </cfRule>
    <cfRule type="cellIs" dxfId="1834" priority="604" operator="lessThan">
      <formula>3</formula>
    </cfRule>
    <cfRule type="cellIs" dxfId="1833" priority="612" operator="equal">
      <formula>3</formula>
    </cfRule>
  </conditionalFormatting>
  <conditionalFormatting sqref="C5">
    <cfRule type="cellIs" dxfId="1832" priority="602" operator="lessThan">
      <formula>2</formula>
    </cfRule>
    <cfRule type="cellIs" dxfId="1831" priority="610" operator="greaterThan">
      <formula>2</formula>
    </cfRule>
    <cfRule type="cellIs" dxfId="1830" priority="611" operator="equal">
      <formula>2</formula>
    </cfRule>
  </conditionalFormatting>
  <conditionalFormatting sqref="C6:D6">
    <cfRule type="cellIs" dxfId="1829" priority="601" operator="lessThan">
      <formula>2</formula>
    </cfRule>
    <cfRule type="cellIs" dxfId="1828" priority="609" operator="greaterThan">
      <formula>1.9</formula>
    </cfRule>
  </conditionalFormatting>
  <conditionalFormatting sqref="C7:D7">
    <cfRule type="cellIs" dxfId="1827" priority="600" operator="lessThan">
      <formula>1</formula>
    </cfRule>
    <cfRule type="cellIs" dxfId="1826" priority="608" operator="greaterThan">
      <formula>0.9</formula>
    </cfRule>
  </conditionalFormatting>
  <conditionalFormatting sqref="C8:D8">
    <cfRule type="cellIs" dxfId="1825" priority="597" operator="greaterThan">
      <formula>0.9</formula>
    </cfRule>
    <cfRule type="cellIs" dxfId="1824" priority="598" operator="greaterThan">
      <formula>1</formula>
    </cfRule>
    <cfRule type="cellIs" dxfId="1823" priority="607" operator="equal">
      <formula>0</formula>
    </cfRule>
  </conditionalFormatting>
  <conditionalFormatting sqref="C9">
    <cfRule type="cellIs" dxfId="1822" priority="606" operator="greaterThan">
      <formula>0</formula>
    </cfRule>
  </conditionalFormatting>
  <conditionalFormatting sqref="C10">
    <cfRule type="cellIs" dxfId="1821" priority="605" operator="greaterThan">
      <formula>0</formula>
    </cfRule>
  </conditionalFormatting>
  <conditionalFormatting sqref="C9:C10">
    <cfRule type="cellIs" dxfId="1820" priority="599" operator="equal">
      <formula>0</formula>
    </cfRule>
  </conditionalFormatting>
  <conditionalFormatting sqref="L4">
    <cfRule type="cellIs" dxfId="1819" priority="596" operator="lessThan">
      <formula>4</formula>
    </cfRule>
  </conditionalFormatting>
  <conditionalFormatting sqref="L5:L7">
    <cfRule type="cellIs" dxfId="1818" priority="595" operator="lessThan">
      <formula>4</formula>
    </cfRule>
  </conditionalFormatting>
  <conditionalFormatting sqref="L8">
    <cfRule type="cellIs" dxfId="1817" priority="591" operator="greaterThan">
      <formula>1.9</formula>
    </cfRule>
    <cfRule type="cellIs" dxfId="1816" priority="594" operator="lessThan">
      <formula>2</formula>
    </cfRule>
  </conditionalFormatting>
  <conditionalFormatting sqref="L9:L10">
    <cfRule type="cellIs" dxfId="1815" priority="590" operator="greaterThan">
      <formula>2.9</formula>
    </cfRule>
    <cfRule type="cellIs" dxfId="1814" priority="593" operator="lessThan">
      <formula>3</formula>
    </cfRule>
  </conditionalFormatting>
  <conditionalFormatting sqref="L4:L7">
    <cfRule type="cellIs" dxfId="1813" priority="592" operator="greaterThan">
      <formula>3.9</formula>
    </cfRule>
  </conditionalFormatting>
  <conditionalFormatting sqref="L12:L15">
    <cfRule type="cellIs" dxfId="1812" priority="588" operator="lessThan">
      <formula>3.9</formula>
    </cfRule>
    <cfRule type="cellIs" dxfId="1811" priority="589" operator="greaterThan">
      <formula>3.9</formula>
    </cfRule>
  </conditionalFormatting>
  <conditionalFormatting sqref="L18:L21">
    <cfRule type="cellIs" dxfId="1810" priority="586" operator="lessThan">
      <formula>2.9</formula>
    </cfRule>
    <cfRule type="cellIs" dxfId="1809" priority="587" operator="greaterThan">
      <formula>2.9</formula>
    </cfRule>
  </conditionalFormatting>
  <conditionalFormatting sqref="L16">
    <cfRule type="cellIs" dxfId="1808" priority="584" operator="lessThan">
      <formula>2.9</formula>
    </cfRule>
    <cfRule type="cellIs" dxfId="1807" priority="585" operator="greaterThan">
      <formula>2.9</formula>
    </cfRule>
  </conditionalFormatting>
  <conditionalFormatting sqref="L17">
    <cfRule type="cellIs" dxfId="1806" priority="582" operator="lessThan">
      <formula>1.9</formula>
    </cfRule>
    <cfRule type="cellIs" dxfId="1805" priority="583" operator="greaterThan">
      <formula>1.9</formula>
    </cfRule>
  </conditionalFormatting>
  <conditionalFormatting sqref="L22">
    <cfRule type="cellIs" dxfId="1804" priority="580" operator="lessThan">
      <formula>3.9</formula>
    </cfRule>
    <cfRule type="cellIs" dxfId="1803" priority="581" operator="greaterThan">
      <formula>3.9</formula>
    </cfRule>
  </conditionalFormatting>
  <conditionalFormatting sqref="K12:K14">
    <cfRule type="cellIs" dxfId="1802" priority="578" operator="lessThan">
      <formula>3.9</formula>
    </cfRule>
    <cfRule type="cellIs" dxfId="1801" priority="579" operator="greaterThan">
      <formula>3.9</formula>
    </cfRule>
  </conditionalFormatting>
  <conditionalFormatting sqref="J12:J13">
    <cfRule type="cellIs" dxfId="1800" priority="576" operator="lessThan">
      <formula>3.9</formula>
    </cfRule>
    <cfRule type="cellIs" dxfId="1799" priority="577" operator="greaterThan">
      <formula>3.9</formula>
    </cfRule>
  </conditionalFormatting>
  <conditionalFormatting sqref="I12:I13">
    <cfRule type="cellIs" dxfId="1798" priority="574" operator="lessThan">
      <formula>3.9</formula>
    </cfRule>
    <cfRule type="cellIs" dxfId="1797" priority="575" operator="greaterThan">
      <formula>3.9</formula>
    </cfRule>
  </conditionalFormatting>
  <conditionalFormatting sqref="H12:H13">
    <cfRule type="cellIs" dxfId="1796" priority="572" operator="lessThan">
      <formula>3.9</formula>
    </cfRule>
    <cfRule type="cellIs" dxfId="1795" priority="573" operator="greaterThan">
      <formula>3.9</formula>
    </cfRule>
  </conditionalFormatting>
  <conditionalFormatting sqref="G12:G13">
    <cfRule type="cellIs" dxfId="1794" priority="570" operator="lessThan">
      <formula>3.9</formula>
    </cfRule>
    <cfRule type="cellIs" dxfId="1793" priority="571" operator="greaterThan">
      <formula>3.9</formula>
    </cfRule>
  </conditionalFormatting>
  <conditionalFormatting sqref="L24">
    <cfRule type="cellIs" dxfId="1792" priority="568" operator="lessThan">
      <formula>3.9</formula>
    </cfRule>
    <cfRule type="cellIs" dxfId="1791" priority="569" operator="greaterThan">
      <formula>3.9</formula>
    </cfRule>
  </conditionalFormatting>
  <conditionalFormatting sqref="L25">
    <cfRule type="cellIs" dxfId="1790" priority="566" operator="lessThan">
      <formula>2.9</formula>
    </cfRule>
    <cfRule type="cellIs" dxfId="1789" priority="567" operator="greaterThan">
      <formula>2.9</formula>
    </cfRule>
  </conditionalFormatting>
  <conditionalFormatting sqref="L27:L29">
    <cfRule type="cellIs" dxfId="1788" priority="564" operator="lessThan">
      <formula>4.9</formula>
    </cfRule>
    <cfRule type="cellIs" dxfId="1787" priority="565" operator="greaterThan">
      <formula>4.9</formula>
    </cfRule>
  </conditionalFormatting>
  <conditionalFormatting sqref="L30">
    <cfRule type="cellIs" dxfId="1786" priority="562" operator="lessThan">
      <formula>2.9</formula>
    </cfRule>
    <cfRule type="cellIs" dxfId="1785" priority="563" operator="greaterThan">
      <formula>2.9</formula>
    </cfRule>
  </conditionalFormatting>
  <conditionalFormatting sqref="L31">
    <cfRule type="cellIs" dxfId="1784" priority="560" operator="lessThan">
      <formula>2.9</formula>
    </cfRule>
    <cfRule type="cellIs" dxfId="1783" priority="561" operator="greaterThan">
      <formula>2.9</formula>
    </cfRule>
  </conditionalFormatting>
  <conditionalFormatting sqref="L32">
    <cfRule type="cellIs" dxfId="1782" priority="558" operator="lessThan">
      <formula>2.9</formula>
    </cfRule>
    <cfRule type="cellIs" dxfId="1781" priority="559" operator="greaterThan">
      <formula>2.9</formula>
    </cfRule>
  </conditionalFormatting>
  <conditionalFormatting sqref="L33">
    <cfRule type="cellIs" dxfId="1780" priority="556" operator="lessThan">
      <formula>2.9</formula>
    </cfRule>
    <cfRule type="cellIs" dxfId="1779" priority="557" operator="greaterThan">
      <formula>2.9</formula>
    </cfRule>
  </conditionalFormatting>
  <conditionalFormatting sqref="L34">
    <cfRule type="cellIs" dxfId="1778" priority="554" operator="lessThan">
      <formula>6.9</formula>
    </cfRule>
    <cfRule type="cellIs" dxfId="1777" priority="555" operator="greaterThan">
      <formula>6.9</formula>
    </cfRule>
  </conditionalFormatting>
  <conditionalFormatting sqref="L36">
    <cfRule type="cellIs" dxfId="1776" priority="551" operator="equal">
      <formula>2</formula>
    </cfRule>
    <cfRule type="cellIs" dxfId="1775" priority="552" operator="lessThan">
      <formula>2</formula>
    </cfRule>
    <cfRule type="cellIs" dxfId="1774" priority="553" operator="greaterThan">
      <formula>2</formula>
    </cfRule>
  </conditionalFormatting>
  <conditionalFormatting sqref="L37">
    <cfRule type="cellIs" dxfId="1773" priority="549" operator="lessThan">
      <formula>0.599</formula>
    </cfRule>
    <cfRule type="cellIs" dxfId="1772" priority="550" operator="greaterThan">
      <formula>0.599</formula>
    </cfRule>
  </conditionalFormatting>
  <conditionalFormatting sqref="L38">
    <cfRule type="cellIs" dxfId="1771" priority="547" operator="lessThan">
      <formula>0.499</formula>
    </cfRule>
    <cfRule type="cellIs" dxfId="1770" priority="548" operator="greaterThan">
      <formula>0.499</formula>
    </cfRule>
  </conditionalFormatting>
  <conditionalFormatting sqref="L39">
    <cfRule type="cellIs" dxfId="1769" priority="544" operator="equal">
      <formula>30</formula>
    </cfRule>
    <cfRule type="cellIs" dxfId="1768" priority="545" operator="greaterThan">
      <formula>30</formula>
    </cfRule>
    <cfRule type="cellIs" dxfId="1767" priority="546" operator="lessThan">
      <formula>30</formula>
    </cfRule>
  </conditionalFormatting>
  <conditionalFormatting sqref="L40">
    <cfRule type="cellIs" dxfId="1766" priority="542" operator="greaterThan">
      <formula>1.67</formula>
    </cfRule>
    <cfRule type="cellIs" dxfId="1765" priority="543" operator="lessThan">
      <formula>1.68</formula>
    </cfRule>
  </conditionalFormatting>
  <conditionalFormatting sqref="L41">
    <cfRule type="cellIs" dxfId="1764" priority="540" operator="lessThan">
      <formula>0.4</formula>
    </cfRule>
    <cfRule type="cellIs" dxfId="1763" priority="541" operator="greaterThan">
      <formula>0.399</formula>
    </cfRule>
  </conditionalFormatting>
  <conditionalFormatting sqref="L42">
    <cfRule type="cellIs" dxfId="1762" priority="537" operator="equal">
      <formula>0.8</formula>
    </cfRule>
    <cfRule type="cellIs" dxfId="1761" priority="538" operator="lessThan">
      <formula>0.8</formula>
    </cfRule>
    <cfRule type="cellIs" dxfId="1760" priority="539" operator="greaterThan">
      <formula>0.8</formula>
    </cfRule>
  </conditionalFormatting>
  <conditionalFormatting sqref="K43:L43">
    <cfRule type="cellIs" dxfId="1759" priority="535" operator="greaterThan">
      <formula>42</formula>
    </cfRule>
    <cfRule type="cellIs" dxfId="1758" priority="536" operator="lessThan">
      <formula>43</formula>
    </cfRule>
  </conditionalFormatting>
  <conditionalFormatting sqref="K44:L44">
    <cfRule type="cellIs" dxfId="1757" priority="533" operator="greaterThan">
      <formula>46</formula>
    </cfRule>
    <cfRule type="cellIs" dxfId="1756" priority="534" operator="lessThan">
      <formula>47</formula>
    </cfRule>
  </conditionalFormatting>
  <conditionalFormatting sqref="L46">
    <cfRule type="cellIs" dxfId="1755" priority="531" operator="lessThan">
      <formula>19</formula>
    </cfRule>
    <cfRule type="cellIs" dxfId="1754" priority="532" operator="greaterThan">
      <formula>18</formula>
    </cfRule>
  </conditionalFormatting>
  <conditionalFormatting sqref="L47">
    <cfRule type="cellIs" dxfId="1753" priority="529" operator="lessThan">
      <formula>45</formula>
    </cfRule>
    <cfRule type="cellIs" dxfId="1752" priority="530" operator="greaterThan">
      <formula>44</formula>
    </cfRule>
  </conditionalFormatting>
  <conditionalFormatting sqref="L48">
    <cfRule type="cellIs" dxfId="1751" priority="527" operator="lessThan">
      <formula>15</formula>
    </cfRule>
    <cfRule type="cellIs" dxfId="1750" priority="528" operator="greaterThan">
      <formula>14</formula>
    </cfRule>
  </conditionalFormatting>
  <conditionalFormatting sqref="L49">
    <cfRule type="cellIs" dxfId="1749" priority="525" operator="lessThan">
      <formula>44</formula>
    </cfRule>
    <cfRule type="cellIs" dxfId="1748" priority="526" operator="greaterThan">
      <formula>44</formula>
    </cfRule>
  </conditionalFormatting>
  <conditionalFormatting sqref="L52:L53">
    <cfRule type="cellIs" dxfId="1747" priority="523" operator="lessThan">
      <formula>240</formula>
    </cfRule>
    <cfRule type="cellIs" dxfId="1746" priority="524" operator="greaterThan">
      <formula>239</formula>
    </cfRule>
  </conditionalFormatting>
  <conditionalFormatting sqref="L56">
    <cfRule type="cellIs" dxfId="1745" priority="521" operator="lessThan">
      <formula>4.1</formula>
    </cfRule>
    <cfRule type="cellIs" dxfId="1744" priority="522" operator="greaterThan">
      <formula>4.09</formula>
    </cfRule>
  </conditionalFormatting>
  <conditionalFormatting sqref="L58:L59">
    <cfRule type="cellIs" dxfId="1743" priority="519" operator="lessThan">
      <formula>0.81</formula>
    </cfRule>
    <cfRule type="cellIs" dxfId="1742" priority="520" operator="greaterThan">
      <formula>0.8</formula>
    </cfRule>
  </conditionalFormatting>
  <conditionalFormatting sqref="K4:K7">
    <cfRule type="cellIs" dxfId="1741" priority="518" operator="lessThan">
      <formula>4</formula>
    </cfRule>
  </conditionalFormatting>
  <conditionalFormatting sqref="K4:K7">
    <cfRule type="cellIs" dxfId="1740" priority="517" operator="greaterThan">
      <formula>3.9</formula>
    </cfRule>
  </conditionalFormatting>
  <conditionalFormatting sqref="K8">
    <cfRule type="cellIs" dxfId="1739" priority="514" operator="greaterThan">
      <formula>1.9</formula>
    </cfRule>
    <cfRule type="cellIs" dxfId="1738" priority="516" operator="lessThan">
      <formula>2</formula>
    </cfRule>
  </conditionalFormatting>
  <conditionalFormatting sqref="K9:K10">
    <cfRule type="cellIs" dxfId="1737" priority="513" operator="greaterThan">
      <formula>2.9</formula>
    </cfRule>
    <cfRule type="cellIs" dxfId="1736" priority="515" operator="lessThan">
      <formula>3</formula>
    </cfRule>
  </conditionalFormatting>
  <conditionalFormatting sqref="I4:J7 F4:H6 E4:E5">
    <cfRule type="cellIs" dxfId="1735" priority="512" operator="lessThan">
      <formula>4</formula>
    </cfRule>
  </conditionalFormatting>
  <conditionalFormatting sqref="I4:J7 F4:H6 E4:E5">
    <cfRule type="cellIs" dxfId="1734" priority="511" operator="greaterThan">
      <formula>3.9</formula>
    </cfRule>
  </conditionalFormatting>
  <conditionalFormatting sqref="J8">
    <cfRule type="cellIs" dxfId="1733" priority="508" operator="greaterThan">
      <formula>1.9</formula>
    </cfRule>
    <cfRule type="cellIs" dxfId="1732" priority="510" operator="lessThan">
      <formula>2</formula>
    </cfRule>
  </conditionalFormatting>
  <conditionalFormatting sqref="J9:J10">
    <cfRule type="cellIs" dxfId="1731" priority="507" operator="greaterThan">
      <formula>2.9</formula>
    </cfRule>
    <cfRule type="cellIs" dxfId="1730" priority="509" operator="lessThan">
      <formula>3</formula>
    </cfRule>
  </conditionalFormatting>
  <conditionalFormatting sqref="F12">
    <cfRule type="cellIs" dxfId="1729" priority="505" operator="lessThan">
      <formula>2.9</formula>
    </cfRule>
    <cfRule type="cellIs" dxfId="1728" priority="506" operator="greaterThan">
      <formula>2.9</formula>
    </cfRule>
  </conditionalFormatting>
  <conditionalFormatting sqref="F13">
    <cfRule type="cellIs" dxfId="1727" priority="503" operator="lessThan">
      <formula>2.9</formula>
    </cfRule>
    <cfRule type="cellIs" dxfId="1726" priority="504" operator="greaterThan">
      <formula>2.9</formula>
    </cfRule>
  </conditionalFormatting>
  <conditionalFormatting sqref="K15">
    <cfRule type="cellIs" dxfId="1725" priority="501" operator="lessThan">
      <formula>2.9</formula>
    </cfRule>
    <cfRule type="cellIs" dxfId="1724" priority="502" operator="greaterThan">
      <formula>2.9</formula>
    </cfRule>
  </conditionalFormatting>
  <conditionalFormatting sqref="J14">
    <cfRule type="cellIs" dxfId="1723" priority="499" operator="lessThan">
      <formula>2.9</formula>
    </cfRule>
    <cfRule type="cellIs" dxfId="1722" priority="500" operator="greaterThan">
      <formula>2.9</formula>
    </cfRule>
  </conditionalFormatting>
  <conditionalFormatting sqref="I16:K16 J15 I14:I15 I17:J20 K17:K21">
    <cfRule type="cellIs" dxfId="1721" priority="497" operator="lessThan">
      <formula>1.9</formula>
    </cfRule>
    <cfRule type="cellIs" dxfId="1720" priority="498" operator="greaterThan">
      <formula>1.9</formula>
    </cfRule>
  </conditionalFormatting>
  <conditionalFormatting sqref="G14:H14">
    <cfRule type="cellIs" dxfId="1719" priority="495" operator="lessThan">
      <formula>1.9</formula>
    </cfRule>
    <cfRule type="cellIs" dxfId="1718" priority="496" operator="greaterThan">
      <formula>1.9</formula>
    </cfRule>
  </conditionalFormatting>
  <conditionalFormatting sqref="E6">
    <cfRule type="cellIs" dxfId="1717" priority="493" operator="lessThan">
      <formula>2.9</formula>
    </cfRule>
    <cfRule type="cellIs" dxfId="1716" priority="494" operator="greaterThan">
      <formula>2.9</formula>
    </cfRule>
  </conditionalFormatting>
  <conditionalFormatting sqref="K22">
    <cfRule type="cellIs" dxfId="1715" priority="491" operator="lessThan">
      <formula>2.9</formula>
    </cfRule>
    <cfRule type="cellIs" dxfId="1714" priority="492" operator="greaterThan">
      <formula>2.9</formula>
    </cfRule>
  </conditionalFormatting>
  <conditionalFormatting sqref="H7">
    <cfRule type="cellIs" dxfId="1713" priority="489" operator="lessThan">
      <formula>2.9</formula>
    </cfRule>
    <cfRule type="cellIs" dxfId="1712" priority="490" operator="greaterThan">
      <formula>2.9</formula>
    </cfRule>
  </conditionalFormatting>
  <conditionalFormatting sqref="I22:J22">
    <cfRule type="cellIs" dxfId="1711" priority="487" operator="lessThan">
      <formula>1.9</formula>
    </cfRule>
    <cfRule type="cellIs" dxfId="1710" priority="488" operator="greaterThan">
      <formula>1.9</formula>
    </cfRule>
  </conditionalFormatting>
  <conditionalFormatting sqref="E12:E13">
    <cfRule type="cellIs" dxfId="1709" priority="485" operator="lessThan">
      <formula>1.9</formula>
    </cfRule>
    <cfRule type="cellIs" dxfId="1708" priority="486" operator="greaterThan">
      <formula>1.9</formula>
    </cfRule>
  </conditionalFormatting>
  <conditionalFormatting sqref="G9:I10">
    <cfRule type="cellIs" dxfId="1707" priority="483" operator="lessThan">
      <formula>1.9</formula>
    </cfRule>
    <cfRule type="cellIs" dxfId="1706" priority="484" operator="greaterThan">
      <formula>1.9</formula>
    </cfRule>
  </conditionalFormatting>
  <conditionalFormatting sqref="G7">
    <cfRule type="cellIs" dxfId="1705" priority="481" operator="lessThan">
      <formula>1.9</formula>
    </cfRule>
    <cfRule type="cellIs" dxfId="1704" priority="482" operator="greaterThan">
      <formula>1.9</formula>
    </cfRule>
  </conditionalFormatting>
  <conditionalFormatting sqref="E8:I8 E9:F10 E7:F7">
    <cfRule type="cellIs" dxfId="1703" priority="479" operator="lessThan">
      <formula>1</formula>
    </cfRule>
    <cfRule type="cellIs" dxfId="1702" priority="480" operator="greaterThan">
      <formula>0.9</formula>
    </cfRule>
  </conditionalFormatting>
  <conditionalFormatting sqref="D4:D5">
    <cfRule type="cellIs" dxfId="1701" priority="477" operator="lessThan">
      <formula>2.9</formula>
    </cfRule>
    <cfRule type="cellIs" dxfId="1700" priority="478" operator="greaterThan">
      <formula>2.9</formula>
    </cfRule>
  </conditionalFormatting>
  <conditionalFormatting sqref="C12:D17">
    <cfRule type="cellIs" dxfId="1699" priority="475" operator="lessThan">
      <formula>1</formula>
    </cfRule>
    <cfRule type="cellIs" dxfId="1698" priority="476" operator="greaterThan">
      <formula>0.9</formula>
    </cfRule>
  </conditionalFormatting>
  <conditionalFormatting sqref="E14:E19">
    <cfRule type="cellIs" dxfId="1697" priority="473" operator="lessThan">
      <formula>1</formula>
    </cfRule>
    <cfRule type="cellIs" dxfId="1696" priority="474" operator="greaterThan">
      <formula>0.9</formula>
    </cfRule>
  </conditionalFormatting>
  <conditionalFormatting sqref="F14:F22">
    <cfRule type="cellIs" dxfId="1695" priority="471" operator="lessThan">
      <formula>1</formula>
    </cfRule>
    <cfRule type="cellIs" dxfId="1694" priority="472" operator="greaterThan">
      <formula>0.9</formula>
    </cfRule>
  </conditionalFormatting>
  <conditionalFormatting sqref="G15:G22">
    <cfRule type="cellIs" dxfId="1693" priority="469" operator="lessThan">
      <formula>1</formula>
    </cfRule>
    <cfRule type="cellIs" dxfId="1692" priority="470" operator="greaterThan">
      <formula>0.9</formula>
    </cfRule>
  </conditionalFormatting>
  <conditionalFormatting sqref="H15:H22 I21:J21">
    <cfRule type="cellIs" dxfId="1691" priority="467" operator="lessThan">
      <formula>1</formula>
    </cfRule>
    <cfRule type="cellIs" dxfId="1690" priority="468" operator="greaterThan">
      <formula>0.9</formula>
    </cfRule>
  </conditionalFormatting>
  <conditionalFormatting sqref="E20:E22 D18:D22">
    <cfRule type="cellIs" dxfId="1689" priority="466" operator="greaterThan">
      <formula>0</formula>
    </cfRule>
  </conditionalFormatting>
  <conditionalFormatting sqref="E20:E22 D18:D22">
    <cfRule type="cellIs" dxfId="1688" priority="465" operator="equal">
      <formula>0</formula>
    </cfRule>
  </conditionalFormatting>
  <conditionalFormatting sqref="C18:C22">
    <cfRule type="cellIs" dxfId="1687" priority="464" operator="greaterThan">
      <formula>0</formula>
    </cfRule>
  </conditionalFormatting>
  <conditionalFormatting sqref="C18:C22">
    <cfRule type="cellIs" dxfId="1686" priority="463" operator="equal">
      <formula>0</formula>
    </cfRule>
  </conditionalFormatting>
  <conditionalFormatting sqref="D9:D10">
    <cfRule type="cellIs" dxfId="1685" priority="461" operator="lessThan">
      <formula>1</formula>
    </cfRule>
    <cfRule type="cellIs" dxfId="1684" priority="462" operator="greaterThan">
      <formula>0.9</formula>
    </cfRule>
  </conditionalFormatting>
  <conditionalFormatting sqref="D24:D25 E25">
    <cfRule type="cellIs" dxfId="1683" priority="460" operator="greaterThan">
      <formula>0</formula>
    </cfRule>
  </conditionalFormatting>
  <conditionalFormatting sqref="D24:D25 E25">
    <cfRule type="cellIs" dxfId="1682" priority="459" operator="equal">
      <formula>0</formula>
    </cfRule>
  </conditionalFormatting>
  <conditionalFormatting sqref="E24">
    <cfRule type="cellIs" dxfId="1681" priority="457" operator="lessThan">
      <formula>1</formula>
    </cfRule>
    <cfRule type="cellIs" dxfId="1680" priority="458" operator="greaterThan">
      <formula>0.9</formula>
    </cfRule>
  </conditionalFormatting>
  <conditionalFormatting sqref="F24">
    <cfRule type="cellIs" dxfId="1679" priority="455" operator="lessThan">
      <formula>1.9</formula>
    </cfRule>
    <cfRule type="cellIs" dxfId="1678" priority="456" operator="greaterThan">
      <formula>1.9</formula>
    </cfRule>
  </conditionalFormatting>
  <conditionalFormatting sqref="G24:H25 I25:J25">
    <cfRule type="cellIs" dxfId="1677" priority="453" operator="lessThan">
      <formula>1.9</formula>
    </cfRule>
    <cfRule type="cellIs" dxfId="1676" priority="454" operator="greaterThan">
      <formula>1.9</formula>
    </cfRule>
  </conditionalFormatting>
  <conditionalFormatting sqref="C24">
    <cfRule type="cellIs" dxfId="1675" priority="452" operator="greaterThan">
      <formula>0</formula>
    </cfRule>
  </conditionalFormatting>
  <conditionalFormatting sqref="C24">
    <cfRule type="cellIs" dxfId="1674" priority="451" operator="equal">
      <formula>0</formula>
    </cfRule>
  </conditionalFormatting>
  <conditionalFormatting sqref="C25">
    <cfRule type="cellIs" dxfId="1673" priority="450" operator="greaterThan">
      <formula>0</formula>
    </cfRule>
  </conditionalFormatting>
  <conditionalFormatting sqref="C25">
    <cfRule type="cellIs" dxfId="1672" priority="449" operator="equal">
      <formula>0</formula>
    </cfRule>
  </conditionalFormatting>
  <conditionalFormatting sqref="I24">
    <cfRule type="cellIs" dxfId="1671" priority="447" operator="lessThan">
      <formula>2.9</formula>
    </cfRule>
    <cfRule type="cellIs" dxfId="1670" priority="448" operator="greaterThan">
      <formula>2.9</formula>
    </cfRule>
  </conditionalFormatting>
  <conditionalFormatting sqref="J24">
    <cfRule type="cellIs" dxfId="1669" priority="445" operator="lessThan">
      <formula>2.9</formula>
    </cfRule>
    <cfRule type="cellIs" dxfId="1668" priority="446" operator="greaterThan">
      <formula>2.9</formula>
    </cfRule>
  </conditionalFormatting>
  <conditionalFormatting sqref="K24">
    <cfRule type="cellIs" dxfId="1667" priority="443" operator="lessThan">
      <formula>2.9</formula>
    </cfRule>
    <cfRule type="cellIs" dxfId="1666" priority="444" operator="greaterThan">
      <formula>2.9</formula>
    </cfRule>
  </conditionalFormatting>
  <conditionalFormatting sqref="F25">
    <cfRule type="cellIs" dxfId="1665" priority="441" operator="lessThan">
      <formula>1</formula>
    </cfRule>
    <cfRule type="cellIs" dxfId="1664" priority="442" operator="greaterThan">
      <formula>0.9</formula>
    </cfRule>
  </conditionalFormatting>
  <conditionalFormatting sqref="K25">
    <cfRule type="cellIs" dxfId="1663" priority="439" operator="lessThan">
      <formula>2.9</formula>
    </cfRule>
    <cfRule type="cellIs" dxfId="1662" priority="440" operator="greaterThan">
      <formula>2.9</formula>
    </cfRule>
  </conditionalFormatting>
  <conditionalFormatting sqref="D27">
    <cfRule type="cellIs" dxfId="1661" priority="437" operator="lessThan">
      <formula>1</formula>
    </cfRule>
    <cfRule type="cellIs" dxfId="1660" priority="438" operator="greaterThan">
      <formula>0.9</formula>
    </cfRule>
  </conditionalFormatting>
  <conditionalFormatting sqref="D28">
    <cfRule type="cellIs" dxfId="1659" priority="435" operator="lessThan">
      <formula>1</formula>
    </cfRule>
    <cfRule type="cellIs" dxfId="1658" priority="436" operator="greaterThan">
      <formula>0.9</formula>
    </cfRule>
  </conditionalFormatting>
  <conditionalFormatting sqref="D29">
    <cfRule type="cellIs" dxfId="1657" priority="433" operator="lessThan">
      <formula>1</formula>
    </cfRule>
    <cfRule type="cellIs" dxfId="1656" priority="434" operator="greaterThan">
      <formula>0.9</formula>
    </cfRule>
  </conditionalFormatting>
  <conditionalFormatting sqref="E29">
    <cfRule type="cellIs" dxfId="1655" priority="431" operator="lessThan">
      <formula>1</formula>
    </cfRule>
    <cfRule type="cellIs" dxfId="1654" priority="432" operator="greaterThan">
      <formula>0.9</formula>
    </cfRule>
  </conditionalFormatting>
  <conditionalFormatting sqref="E28">
    <cfRule type="cellIs" dxfId="1653" priority="429" operator="lessThan">
      <formula>1</formula>
    </cfRule>
    <cfRule type="cellIs" dxfId="1652" priority="430" operator="greaterThan">
      <formula>0.9</formula>
    </cfRule>
  </conditionalFormatting>
  <conditionalFormatting sqref="E27">
    <cfRule type="cellIs" dxfId="1651" priority="427" operator="lessThan">
      <formula>1</formula>
    </cfRule>
    <cfRule type="cellIs" dxfId="1650" priority="428" operator="greaterThan">
      <formula>0.9</formula>
    </cfRule>
  </conditionalFormatting>
  <conditionalFormatting sqref="F27">
    <cfRule type="cellIs" dxfId="1649" priority="425" operator="lessThan">
      <formula>1</formula>
    </cfRule>
    <cfRule type="cellIs" dxfId="1648" priority="426" operator="greaterThan">
      <formula>0.9</formula>
    </cfRule>
  </conditionalFormatting>
  <conditionalFormatting sqref="F28">
    <cfRule type="cellIs" dxfId="1647" priority="423" operator="lessThan">
      <formula>1</formula>
    </cfRule>
    <cfRule type="cellIs" dxfId="1646" priority="424" operator="greaterThan">
      <formula>0.9</formula>
    </cfRule>
  </conditionalFormatting>
  <conditionalFormatting sqref="F29">
    <cfRule type="cellIs" dxfId="1645" priority="421" operator="lessThan">
      <formula>1</formula>
    </cfRule>
    <cfRule type="cellIs" dxfId="1644" priority="422" operator="greaterThan">
      <formula>0.9</formula>
    </cfRule>
  </conditionalFormatting>
  <conditionalFormatting sqref="F30">
    <cfRule type="cellIs" dxfId="1643" priority="419" operator="lessThan">
      <formula>1</formula>
    </cfRule>
    <cfRule type="cellIs" dxfId="1642" priority="420" operator="greaterThan">
      <formula>0.9</formula>
    </cfRule>
  </conditionalFormatting>
  <conditionalFormatting sqref="F31">
    <cfRule type="cellIs" dxfId="1641" priority="417" operator="lessThan">
      <formula>1</formula>
    </cfRule>
    <cfRule type="cellIs" dxfId="1640" priority="418" operator="greaterThan">
      <formula>0.9</formula>
    </cfRule>
  </conditionalFormatting>
  <conditionalFormatting sqref="F32">
    <cfRule type="cellIs" dxfId="1639" priority="415" operator="lessThan">
      <formula>1</formula>
    </cfRule>
    <cfRule type="cellIs" dxfId="1638" priority="416" operator="greaterThan">
      <formula>0.9</formula>
    </cfRule>
  </conditionalFormatting>
  <conditionalFormatting sqref="F33:F34">
    <cfRule type="cellIs" dxfId="1637" priority="413" operator="lessThan">
      <formula>1</formula>
    </cfRule>
    <cfRule type="cellIs" dxfId="1636" priority="414" operator="greaterThan">
      <formula>0.9</formula>
    </cfRule>
  </conditionalFormatting>
  <conditionalFormatting sqref="C27">
    <cfRule type="cellIs" dxfId="1635" priority="411" operator="lessThan">
      <formula>1</formula>
    </cfRule>
    <cfRule type="cellIs" dxfId="1634" priority="412" operator="greaterThan">
      <formula>0.9</formula>
    </cfRule>
  </conditionalFormatting>
  <conditionalFormatting sqref="C28">
    <cfRule type="cellIs" dxfId="1633" priority="409" operator="lessThan">
      <formula>1</formula>
    </cfRule>
    <cfRule type="cellIs" dxfId="1632" priority="410" operator="greaterThan">
      <formula>0.9</formula>
    </cfRule>
  </conditionalFormatting>
  <conditionalFormatting sqref="C29">
    <cfRule type="cellIs" dxfId="1631" priority="407" operator="lessThan">
      <formula>1</formula>
    </cfRule>
    <cfRule type="cellIs" dxfId="1630" priority="408" operator="greaterThan">
      <formula>0.9</formula>
    </cfRule>
  </conditionalFormatting>
  <conditionalFormatting sqref="C30:C34">
    <cfRule type="cellIs" dxfId="1629" priority="406" operator="greaterThan">
      <formula>0</formula>
    </cfRule>
  </conditionalFormatting>
  <conditionalFormatting sqref="C30:C34">
    <cfRule type="cellIs" dxfId="1628" priority="405" operator="equal">
      <formula>0</formula>
    </cfRule>
  </conditionalFormatting>
  <conditionalFormatting sqref="D30">
    <cfRule type="cellIs" dxfId="1627" priority="404" operator="greaterThan">
      <formula>0</formula>
    </cfRule>
  </conditionalFormatting>
  <conditionalFormatting sqref="D30">
    <cfRule type="cellIs" dxfId="1626" priority="403" operator="equal">
      <formula>0</formula>
    </cfRule>
  </conditionalFormatting>
  <conditionalFormatting sqref="D31">
    <cfRule type="cellIs" dxfId="1625" priority="402" operator="greaterThan">
      <formula>0</formula>
    </cfRule>
  </conditionalFormatting>
  <conditionalFormatting sqref="D31">
    <cfRule type="cellIs" dxfId="1624" priority="401" operator="equal">
      <formula>0</formula>
    </cfRule>
  </conditionalFormatting>
  <conditionalFormatting sqref="D32">
    <cfRule type="cellIs" dxfId="1623" priority="400" operator="greaterThan">
      <formula>0</formula>
    </cfRule>
  </conditionalFormatting>
  <conditionalFormatting sqref="D32">
    <cfRule type="cellIs" dxfId="1622" priority="399" operator="equal">
      <formula>0</formula>
    </cfRule>
  </conditionalFormatting>
  <conditionalFormatting sqref="D33">
    <cfRule type="cellIs" dxfId="1621" priority="398" operator="greaterThan">
      <formula>0</formula>
    </cfRule>
  </conditionalFormatting>
  <conditionalFormatting sqref="D33">
    <cfRule type="cellIs" dxfId="1620" priority="397" operator="equal">
      <formula>0</formula>
    </cfRule>
  </conditionalFormatting>
  <conditionalFormatting sqref="D34">
    <cfRule type="cellIs" dxfId="1619" priority="396" operator="greaterThan">
      <formula>0</formula>
    </cfRule>
  </conditionalFormatting>
  <conditionalFormatting sqref="D34">
    <cfRule type="cellIs" dxfId="1618" priority="395" operator="equal">
      <formula>0</formula>
    </cfRule>
  </conditionalFormatting>
  <conditionalFormatting sqref="E30">
    <cfRule type="cellIs" dxfId="1617" priority="394" operator="greaterThan">
      <formula>0</formula>
    </cfRule>
  </conditionalFormatting>
  <conditionalFormatting sqref="E30">
    <cfRule type="cellIs" dxfId="1616" priority="393" operator="equal">
      <formula>0</formula>
    </cfRule>
  </conditionalFormatting>
  <conditionalFormatting sqref="E31">
    <cfRule type="cellIs" dxfId="1615" priority="392" operator="greaterThan">
      <formula>0</formula>
    </cfRule>
  </conditionalFormatting>
  <conditionalFormatting sqref="E31">
    <cfRule type="cellIs" dxfId="1614" priority="391" operator="equal">
      <formula>0</formula>
    </cfRule>
  </conditionalFormatting>
  <conditionalFormatting sqref="E32">
    <cfRule type="cellIs" dxfId="1613" priority="390" operator="greaterThan">
      <formula>0</formula>
    </cfRule>
  </conditionalFormatting>
  <conditionalFormatting sqref="E32">
    <cfRule type="cellIs" dxfId="1612" priority="389" operator="equal">
      <formula>0</formula>
    </cfRule>
  </conditionalFormatting>
  <conditionalFormatting sqref="E33">
    <cfRule type="cellIs" dxfId="1611" priority="388" operator="greaterThan">
      <formula>0</formula>
    </cfRule>
  </conditionalFormatting>
  <conditionalFormatting sqref="E33">
    <cfRule type="cellIs" dxfId="1610" priority="387" operator="equal">
      <formula>0</formula>
    </cfRule>
  </conditionalFormatting>
  <conditionalFormatting sqref="E34">
    <cfRule type="cellIs" dxfId="1609" priority="386" operator="greaterThan">
      <formula>0</formula>
    </cfRule>
  </conditionalFormatting>
  <conditionalFormatting sqref="E34">
    <cfRule type="cellIs" dxfId="1608" priority="385" operator="equal">
      <formula>0</formula>
    </cfRule>
  </conditionalFormatting>
  <conditionalFormatting sqref="G27">
    <cfRule type="cellIs" dxfId="1607" priority="383" operator="lessThan">
      <formula>1.9</formula>
    </cfRule>
    <cfRule type="cellIs" dxfId="1606" priority="384" operator="greaterThan">
      <formula>1.9</formula>
    </cfRule>
  </conditionalFormatting>
  <conditionalFormatting sqref="G28">
    <cfRule type="cellIs" dxfId="1605" priority="381" operator="lessThan">
      <formula>1.9</formula>
    </cfRule>
    <cfRule type="cellIs" dxfId="1604" priority="382" operator="greaterThan">
      <formula>1.9</formula>
    </cfRule>
  </conditionalFormatting>
  <conditionalFormatting sqref="G29">
    <cfRule type="cellIs" dxfId="1603" priority="379" operator="lessThan">
      <formula>1.9</formula>
    </cfRule>
    <cfRule type="cellIs" dxfId="1602" priority="380" operator="greaterThan">
      <formula>1.9</formula>
    </cfRule>
  </conditionalFormatting>
  <conditionalFormatting sqref="G30">
    <cfRule type="cellIs" dxfId="1601" priority="377" operator="lessThan">
      <formula>1.9</formula>
    </cfRule>
    <cfRule type="cellIs" dxfId="1600" priority="378" operator="greaterThan">
      <formula>1.9</formula>
    </cfRule>
  </conditionalFormatting>
  <conditionalFormatting sqref="G31">
    <cfRule type="cellIs" dxfId="1599" priority="375" operator="lessThan">
      <formula>1.9</formula>
    </cfRule>
    <cfRule type="cellIs" dxfId="1598" priority="376" operator="greaterThan">
      <formula>1.9</formula>
    </cfRule>
  </conditionalFormatting>
  <conditionalFormatting sqref="G32">
    <cfRule type="cellIs" dxfId="1597" priority="373" operator="lessThan">
      <formula>1.9</formula>
    </cfRule>
    <cfRule type="cellIs" dxfId="1596" priority="374" operator="greaterThan">
      <formula>1.9</formula>
    </cfRule>
  </conditionalFormatting>
  <conditionalFormatting sqref="G33:G34">
    <cfRule type="cellIs" dxfId="1595" priority="371" operator="lessThan">
      <formula>1.9</formula>
    </cfRule>
    <cfRule type="cellIs" dxfId="1594" priority="372" operator="greaterThan">
      <formula>1.9</formula>
    </cfRule>
  </conditionalFormatting>
  <conditionalFormatting sqref="H27:H33">
    <cfRule type="cellIs" dxfId="1593" priority="369" operator="lessThan">
      <formula>1.9</formula>
    </cfRule>
    <cfRule type="cellIs" dxfId="1592" priority="370" operator="greaterThan">
      <formula>1.9</formula>
    </cfRule>
  </conditionalFormatting>
  <conditionalFormatting sqref="I30">
    <cfRule type="cellIs" dxfId="1591" priority="367" operator="lessThan">
      <formula>1.9</formula>
    </cfRule>
    <cfRule type="cellIs" dxfId="1590" priority="368" operator="greaterThan">
      <formula>1.9</formula>
    </cfRule>
  </conditionalFormatting>
  <conditionalFormatting sqref="I31">
    <cfRule type="cellIs" dxfId="1589" priority="365" operator="lessThan">
      <formula>1.9</formula>
    </cfRule>
    <cfRule type="cellIs" dxfId="1588" priority="366" operator="greaterThan">
      <formula>1.9</formula>
    </cfRule>
  </conditionalFormatting>
  <conditionalFormatting sqref="I32">
    <cfRule type="cellIs" dxfId="1587" priority="363" operator="lessThan">
      <formula>1.9</formula>
    </cfRule>
    <cfRule type="cellIs" dxfId="1586" priority="364" operator="greaterThan">
      <formula>1.9</formula>
    </cfRule>
  </conditionalFormatting>
  <conditionalFormatting sqref="I33">
    <cfRule type="cellIs" dxfId="1585" priority="361" operator="lessThan">
      <formula>1.9</formula>
    </cfRule>
    <cfRule type="cellIs" dxfId="1584" priority="362" operator="greaterThan">
      <formula>1.9</formula>
    </cfRule>
  </conditionalFormatting>
  <conditionalFormatting sqref="J27:J29">
    <cfRule type="cellIs" dxfId="1583" priority="359" operator="lessThan">
      <formula>2.9</formula>
    </cfRule>
    <cfRule type="cellIs" dxfId="1582" priority="360" operator="greaterThan">
      <formula>2.9</formula>
    </cfRule>
  </conditionalFormatting>
  <conditionalFormatting sqref="J30">
    <cfRule type="cellIs" dxfId="1581" priority="357" operator="lessThan">
      <formula>1.9</formula>
    </cfRule>
    <cfRule type="cellIs" dxfId="1580" priority="358" operator="greaterThan">
      <formula>1.9</formula>
    </cfRule>
  </conditionalFormatting>
  <conditionalFormatting sqref="J31">
    <cfRule type="cellIs" dxfId="1579" priority="355" operator="lessThan">
      <formula>1.9</formula>
    </cfRule>
    <cfRule type="cellIs" dxfId="1578" priority="356" operator="greaterThan">
      <formula>1.9</formula>
    </cfRule>
  </conditionalFormatting>
  <conditionalFormatting sqref="J32">
    <cfRule type="cellIs" dxfId="1577" priority="353" operator="lessThan">
      <formula>1.9</formula>
    </cfRule>
    <cfRule type="cellIs" dxfId="1576" priority="354" operator="greaterThan">
      <formula>1.9</formula>
    </cfRule>
  </conditionalFormatting>
  <conditionalFormatting sqref="J33">
    <cfRule type="cellIs" dxfId="1575" priority="351" operator="lessThan">
      <formula>1.9</formula>
    </cfRule>
    <cfRule type="cellIs" dxfId="1574" priority="352" operator="greaterThan">
      <formula>1.9</formula>
    </cfRule>
  </conditionalFormatting>
  <conditionalFormatting sqref="K27">
    <cfRule type="cellIs" dxfId="1573" priority="349" operator="lessThan">
      <formula>3.9</formula>
    </cfRule>
    <cfRule type="cellIs" dxfId="1572" priority="350" operator="greaterThan">
      <formula>3.9</formula>
    </cfRule>
  </conditionalFormatting>
  <conditionalFormatting sqref="K28">
    <cfRule type="cellIs" dxfId="1571" priority="347" operator="lessThan">
      <formula>3.9</formula>
    </cfRule>
    <cfRule type="cellIs" dxfId="1570" priority="348" operator="greaterThan">
      <formula>3.9</formula>
    </cfRule>
  </conditionalFormatting>
  <conditionalFormatting sqref="K29">
    <cfRule type="cellIs" dxfId="1569" priority="345" operator="lessThan">
      <formula>3.9</formula>
    </cfRule>
    <cfRule type="cellIs" dxfId="1568" priority="346" operator="greaterThan">
      <formula>3.9</formula>
    </cfRule>
  </conditionalFormatting>
  <conditionalFormatting sqref="K30">
    <cfRule type="cellIs" dxfId="1567" priority="343" operator="lessThan">
      <formula>2.9</formula>
    </cfRule>
    <cfRule type="cellIs" dxfId="1566" priority="344" operator="greaterThan">
      <formula>2.9</formula>
    </cfRule>
  </conditionalFormatting>
  <conditionalFormatting sqref="K31">
    <cfRule type="cellIs" dxfId="1565" priority="341" operator="lessThan">
      <formula>2.9</formula>
    </cfRule>
    <cfRule type="cellIs" dxfId="1564" priority="342" operator="greaterThan">
      <formula>2.9</formula>
    </cfRule>
  </conditionalFormatting>
  <conditionalFormatting sqref="K32">
    <cfRule type="cellIs" dxfId="1563" priority="339" operator="lessThan">
      <formula>2.9</formula>
    </cfRule>
    <cfRule type="cellIs" dxfId="1562" priority="340" operator="greaterThan">
      <formula>2.9</formula>
    </cfRule>
  </conditionalFormatting>
  <conditionalFormatting sqref="K33">
    <cfRule type="cellIs" dxfId="1561" priority="337" operator="lessThan">
      <formula>2.9</formula>
    </cfRule>
    <cfRule type="cellIs" dxfId="1560" priority="338" operator="greaterThan">
      <formula>2.9</formula>
    </cfRule>
  </conditionalFormatting>
  <conditionalFormatting sqref="I27:I29">
    <cfRule type="cellIs" dxfId="1559" priority="335" operator="lessThan">
      <formula>2.9</formula>
    </cfRule>
    <cfRule type="cellIs" dxfId="1558" priority="336" operator="greaterThan">
      <formula>2.9</formula>
    </cfRule>
  </conditionalFormatting>
  <conditionalFormatting sqref="K34">
    <cfRule type="cellIs" dxfId="1557" priority="333" operator="lessThan">
      <formula>6.9</formula>
    </cfRule>
    <cfRule type="cellIs" dxfId="1556" priority="334" operator="greaterThan">
      <formula>6.9</formula>
    </cfRule>
  </conditionalFormatting>
  <conditionalFormatting sqref="H34">
    <cfRule type="cellIs" dxfId="1555" priority="331" operator="lessThan">
      <formula>3.9</formula>
    </cfRule>
    <cfRule type="cellIs" dxfId="1554" priority="332" operator="greaterThan">
      <formula>3.9</formula>
    </cfRule>
  </conditionalFormatting>
  <conditionalFormatting sqref="I34">
    <cfRule type="cellIs" dxfId="1553" priority="329" operator="lessThan">
      <formula>4.9</formula>
    </cfRule>
    <cfRule type="cellIs" dxfId="1552" priority="330" operator="greaterThan">
      <formula>4.9</formula>
    </cfRule>
  </conditionalFormatting>
  <conditionalFormatting sqref="J34">
    <cfRule type="cellIs" dxfId="1551" priority="327" operator="lessThan">
      <formula>6</formula>
    </cfRule>
    <cfRule type="cellIs" dxfId="1550" priority="328" operator="greaterThan">
      <formula>5.9</formula>
    </cfRule>
  </conditionalFormatting>
  <conditionalFormatting sqref="K58:K59">
    <cfRule type="cellIs" dxfId="1549" priority="324" operator="lessThan">
      <formula>0.76</formula>
    </cfRule>
    <cfRule type="cellIs" dxfId="1548" priority="325" operator="greaterThan">
      <formula>0.75</formula>
    </cfRule>
    <cfRule type="cellIs" dxfId="1547" priority="326" operator="greaterThan">
      <formula>75</formula>
    </cfRule>
  </conditionalFormatting>
  <conditionalFormatting sqref="H58:J59">
    <cfRule type="cellIs" dxfId="1546" priority="322" operator="lessThan">
      <formula>0.71</formula>
    </cfRule>
    <cfRule type="cellIs" dxfId="1545" priority="323" operator="greaterThan">
      <formula>0.7</formula>
    </cfRule>
  </conditionalFormatting>
  <conditionalFormatting sqref="F58:G59">
    <cfRule type="cellIs" dxfId="1544" priority="320" operator="lessThan">
      <formula>0.66</formula>
    </cfRule>
    <cfRule type="cellIs" dxfId="1543" priority="321" operator="greaterThan">
      <formula>0.65</formula>
    </cfRule>
  </conditionalFormatting>
  <conditionalFormatting sqref="E58:E59">
    <cfRule type="cellIs" dxfId="1542" priority="318" operator="lessThan">
      <formula>0.61</formula>
    </cfRule>
    <cfRule type="cellIs" dxfId="1541" priority="319" operator="greaterThan">
      <formula>0.6</formula>
    </cfRule>
  </conditionalFormatting>
  <conditionalFormatting sqref="C58:D59">
    <cfRule type="cellIs" dxfId="1540" priority="316" operator="lessThan">
      <formula>0.51</formula>
    </cfRule>
    <cfRule type="cellIs" dxfId="1539" priority="317" operator="greaterThan">
      <formula>0.5</formula>
    </cfRule>
  </conditionalFormatting>
  <conditionalFormatting sqref="K47">
    <cfRule type="cellIs" dxfId="1538" priority="313" operator="greaterThan">
      <formula>39.9</formula>
    </cfRule>
    <cfRule type="cellIs" dxfId="1537" priority="314" operator="lessThan">
      <formula>40</formula>
    </cfRule>
    <cfRule type="cellIs" dxfId="1536" priority="315" operator="greaterThan">
      <formula>40</formula>
    </cfRule>
  </conditionalFormatting>
  <conditionalFormatting sqref="K48">
    <cfRule type="cellIs" dxfId="1535" priority="311" operator="lessThan">
      <formula>9.9</formula>
    </cfRule>
    <cfRule type="cellIs" dxfId="1534" priority="312" operator="greaterThan">
      <formula>9.9</formula>
    </cfRule>
  </conditionalFormatting>
  <conditionalFormatting sqref="K46">
    <cfRule type="cellIs" dxfId="1533" priority="309" operator="lessThan">
      <formula>17.9</formula>
    </cfRule>
    <cfRule type="cellIs" dxfId="1532" priority="310" operator="greaterThan">
      <formula>17.9</formula>
    </cfRule>
  </conditionalFormatting>
  <conditionalFormatting sqref="K49">
    <cfRule type="cellIs" dxfId="1531" priority="307" operator="lessThan">
      <formula>39.9</formula>
    </cfRule>
    <cfRule type="cellIs" dxfId="1530" priority="308" operator="greaterThan">
      <formula>39.9</formula>
    </cfRule>
  </conditionalFormatting>
  <conditionalFormatting sqref="K52:K53">
    <cfRule type="cellIs" dxfId="1529" priority="305" operator="lessThan">
      <formula>215.9</formula>
    </cfRule>
    <cfRule type="cellIs" dxfId="1528" priority="306" operator="greaterThan">
      <formula>215.9</formula>
    </cfRule>
  </conditionalFormatting>
  <conditionalFormatting sqref="K56">
    <cfRule type="cellIs" dxfId="1527" priority="301" operator="lessThan">
      <formula>4.27</formula>
    </cfRule>
    <cfRule type="cellIs" dxfId="1526" priority="302" operator="greaterThan">
      <formula>4.27</formula>
    </cfRule>
    <cfRule type="cellIs" dxfId="1525" priority="303" operator="lessThan">
      <formula>4.28</formula>
    </cfRule>
    <cfRule type="cellIs" dxfId="1524" priority="304" operator="greaterThan">
      <formula>4.28</formula>
    </cfRule>
  </conditionalFormatting>
  <conditionalFormatting sqref="I46:J46">
    <cfRule type="cellIs" dxfId="1523" priority="297" operator="lessThan">
      <formula>16.9</formula>
    </cfRule>
    <cfRule type="cellIs" dxfId="1522" priority="298" operator="greaterThan">
      <formula>16.9</formula>
    </cfRule>
    <cfRule type="cellIs" dxfId="1521" priority="299" operator="greaterThan">
      <formula>16</formula>
    </cfRule>
    <cfRule type="cellIs" dxfId="1520" priority="300" operator="greaterThan">
      <formula>16</formula>
    </cfRule>
  </conditionalFormatting>
  <conditionalFormatting sqref="J47">
    <cfRule type="cellIs" dxfId="1519" priority="293" operator="lessThan">
      <formula>34.9</formula>
    </cfRule>
    <cfRule type="cellIs" dxfId="1518" priority="294" operator="greaterThan">
      <formula>34.9</formula>
    </cfRule>
    <cfRule type="cellIs" dxfId="1517" priority="295" operator="greaterThan">
      <formula>34.9</formula>
    </cfRule>
    <cfRule type="cellIs" dxfId="1516" priority="296" operator="greaterThan">
      <formula>34.9</formula>
    </cfRule>
  </conditionalFormatting>
  <conditionalFormatting sqref="J48">
    <cfRule type="cellIs" dxfId="1515" priority="291" operator="lessThan">
      <formula>7.9</formula>
    </cfRule>
    <cfRule type="cellIs" dxfId="1514" priority="292" operator="greaterThan">
      <formula>7.9</formula>
    </cfRule>
  </conditionalFormatting>
  <conditionalFormatting sqref="J49">
    <cfRule type="cellIs" dxfId="1513" priority="289" operator="lessThan">
      <formula>34.9</formula>
    </cfRule>
    <cfRule type="cellIs" dxfId="1512" priority="290" operator="greaterThan">
      <formula>34.9</formula>
    </cfRule>
  </conditionalFormatting>
  <conditionalFormatting sqref="J52:J53">
    <cfRule type="cellIs" dxfId="1511" priority="287" operator="lessThan">
      <formula>191.9</formula>
    </cfRule>
    <cfRule type="cellIs" dxfId="1510" priority="288" operator="greaterThan">
      <formula>191</formula>
    </cfRule>
  </conditionalFormatting>
  <conditionalFormatting sqref="J56">
    <cfRule type="cellIs" dxfId="1509" priority="283" operator="lessThan">
      <formula>4.391</formula>
    </cfRule>
    <cfRule type="cellIs" dxfId="1508" priority="284" operator="greaterThan">
      <formula>4.39</formula>
    </cfRule>
    <cfRule type="cellIs" dxfId="1507" priority="285" operator="lessThan">
      <formula>"4.39.1"</formula>
    </cfRule>
    <cfRule type="cellIs" dxfId="1506" priority="286" operator="greaterThan">
      <formula>4.39</formula>
    </cfRule>
  </conditionalFormatting>
  <conditionalFormatting sqref="I47">
    <cfRule type="cellIs" dxfId="1505" priority="281" operator="lessThan">
      <formula>30</formula>
    </cfRule>
    <cfRule type="cellIs" dxfId="1504" priority="282" operator="greaterThan">
      <formula>29.9</formula>
    </cfRule>
  </conditionalFormatting>
  <conditionalFormatting sqref="I48">
    <cfRule type="cellIs" dxfId="1503" priority="279" operator="lessThan">
      <formula>7</formula>
    </cfRule>
    <cfRule type="cellIs" dxfId="1502" priority="280" operator="greaterThan">
      <formula>6.9</formula>
    </cfRule>
  </conditionalFormatting>
  <conditionalFormatting sqref="I49">
    <cfRule type="cellIs" dxfId="1501" priority="277" operator="lessThan">
      <formula>30</formula>
    </cfRule>
    <cfRule type="cellIs" dxfId="1500" priority="278" operator="greaterThan">
      <formula>29.9</formula>
    </cfRule>
  </conditionalFormatting>
  <conditionalFormatting sqref="I52:I53">
    <cfRule type="cellIs" dxfId="1499" priority="275" operator="lessThan">
      <formula>168</formula>
    </cfRule>
    <cfRule type="cellIs" dxfId="1498" priority="276" operator="greaterThan">
      <formula>167.9</formula>
    </cfRule>
  </conditionalFormatting>
  <conditionalFormatting sqref="I56">
    <cfRule type="cellIs" dxfId="1497" priority="271" operator="greaterThan">
      <formula>4.49</formula>
    </cfRule>
    <cfRule type="cellIs" dxfId="1496" priority="272" operator="lessThan">
      <formula>4.5</formula>
    </cfRule>
    <cfRule type="cellIs" dxfId="1495" priority="273" operator="lessThan">
      <formula>4.49</formula>
    </cfRule>
    <cfRule type="cellIs" dxfId="1494" priority="274" operator="lessThan">
      <formula>4.48</formula>
    </cfRule>
  </conditionalFormatting>
  <conditionalFormatting sqref="C46:H46">
    <cfRule type="cellIs" dxfId="1493" priority="269" operator="lessThan">
      <formula>15</formula>
    </cfRule>
    <cfRule type="cellIs" dxfId="1492" priority="270" operator="greaterThan">
      <formula>14</formula>
    </cfRule>
  </conditionalFormatting>
  <conditionalFormatting sqref="H47">
    <cfRule type="cellIs" dxfId="1491" priority="267" operator="lessThan">
      <formula>25</formula>
    </cfRule>
    <cfRule type="cellIs" dxfId="1490" priority="268" operator="greaterThan">
      <formula>24</formula>
    </cfRule>
  </conditionalFormatting>
  <conditionalFormatting sqref="H48">
    <cfRule type="cellIs" dxfId="1489" priority="265" operator="lessThan">
      <formula>6</formula>
    </cfRule>
    <cfRule type="cellIs" dxfId="1488" priority="266" operator="greaterThan">
      <formula>5</formula>
    </cfRule>
  </conditionalFormatting>
  <conditionalFormatting sqref="H49">
    <cfRule type="cellIs" dxfId="1487" priority="263" operator="lessThan">
      <formula>25</formula>
    </cfRule>
    <cfRule type="cellIs" dxfId="1486" priority="264" operator="greaterThan">
      <formula>24</formula>
    </cfRule>
  </conditionalFormatting>
  <conditionalFormatting sqref="H52:H53">
    <cfRule type="cellIs" dxfId="1485" priority="261" operator="lessThan">
      <formula>144</formula>
    </cfRule>
    <cfRule type="cellIs" dxfId="1484" priority="262" operator="greaterThan">
      <formula>143</formula>
    </cfRule>
  </conditionalFormatting>
  <conditionalFormatting sqref="H56">
    <cfRule type="cellIs" dxfId="1483" priority="259" operator="greaterThan">
      <formula>4.59</formula>
    </cfRule>
    <cfRule type="cellIs" dxfId="1482" priority="260" operator="lessThan">
      <formula>4.6</formula>
    </cfRule>
  </conditionalFormatting>
  <conditionalFormatting sqref="G47">
    <cfRule type="cellIs" dxfId="1481" priority="257" operator="lessThan">
      <formula>20</formula>
    </cfRule>
    <cfRule type="cellIs" dxfId="1480" priority="258" operator="greaterThan">
      <formula>19</formula>
    </cfRule>
  </conditionalFormatting>
  <conditionalFormatting sqref="G48">
    <cfRule type="cellIs" dxfId="1479" priority="255" operator="lessThan">
      <formula>5</formula>
    </cfRule>
    <cfRule type="cellIs" dxfId="1478" priority="256" operator="greaterThan">
      <formula>4</formula>
    </cfRule>
  </conditionalFormatting>
  <conditionalFormatting sqref="G49">
    <cfRule type="cellIs" dxfId="1477" priority="253" operator="lessThan">
      <formula>20</formula>
    </cfRule>
    <cfRule type="cellIs" dxfId="1476" priority="254" operator="greaterThan">
      <formula>19</formula>
    </cfRule>
  </conditionalFormatting>
  <conditionalFormatting sqref="G52:G53">
    <cfRule type="cellIs" dxfId="1475" priority="251" operator="lessThan">
      <formula>120</formula>
    </cfRule>
    <cfRule type="cellIs" dxfId="1474" priority="252" operator="greaterThan">
      <formula>119</formula>
    </cfRule>
  </conditionalFormatting>
  <conditionalFormatting sqref="G56">
    <cfRule type="cellIs" dxfId="1473" priority="249" operator="greaterThan">
      <formula>4.75</formula>
    </cfRule>
    <cfRule type="cellIs" dxfId="1472" priority="250" operator="lessThan">
      <formula>4.76</formula>
    </cfRule>
  </conditionalFormatting>
  <conditionalFormatting sqref="F47">
    <cfRule type="cellIs" dxfId="1471" priority="247" operator="lessThan">
      <formula>15</formula>
    </cfRule>
    <cfRule type="cellIs" dxfId="1470" priority="248" operator="greaterThan">
      <formula>14</formula>
    </cfRule>
  </conditionalFormatting>
  <conditionalFormatting sqref="F48">
    <cfRule type="cellIs" dxfId="1469" priority="245" operator="lessThan">
      <formula>4</formula>
    </cfRule>
    <cfRule type="cellIs" dxfId="1468" priority="246" operator="greaterThan">
      <formula>3</formula>
    </cfRule>
  </conditionalFormatting>
  <conditionalFormatting sqref="F49">
    <cfRule type="cellIs" dxfId="1467" priority="243" operator="lessThan">
      <formula>15</formula>
    </cfRule>
    <cfRule type="cellIs" dxfId="1466" priority="244" operator="greaterThan">
      <formula>14</formula>
    </cfRule>
  </conditionalFormatting>
  <conditionalFormatting sqref="F52:F53">
    <cfRule type="cellIs" dxfId="1465" priority="241" operator="lessThan">
      <formula>96</formula>
    </cfRule>
    <cfRule type="cellIs" dxfId="1464" priority="242" operator="greaterThan">
      <formula>95</formula>
    </cfRule>
  </conditionalFormatting>
  <conditionalFormatting sqref="F56">
    <cfRule type="cellIs" dxfId="1463" priority="239" operator="greaterThan">
      <formula>5</formula>
    </cfRule>
    <cfRule type="cellIs" dxfId="1462" priority="240" operator="lessThan">
      <formula>5.1</formula>
    </cfRule>
  </conditionalFormatting>
  <conditionalFormatting sqref="E47">
    <cfRule type="cellIs" dxfId="1461" priority="237" operator="lessThan">
      <formula>10</formula>
    </cfRule>
    <cfRule type="cellIs" dxfId="1460" priority="238" operator="greaterThan">
      <formula>9</formula>
    </cfRule>
  </conditionalFormatting>
  <conditionalFormatting sqref="E48">
    <cfRule type="cellIs" dxfId="1459" priority="235" operator="lessThan">
      <formula>3</formula>
    </cfRule>
    <cfRule type="cellIs" dxfId="1458" priority="236" operator="greaterThan">
      <formula>2</formula>
    </cfRule>
  </conditionalFormatting>
  <conditionalFormatting sqref="E49">
    <cfRule type="cellIs" dxfId="1457" priority="233" operator="lessThan">
      <formula>10</formula>
    </cfRule>
    <cfRule type="cellIs" dxfId="1456" priority="234" operator="greaterThan">
      <formula>9</formula>
    </cfRule>
  </conditionalFormatting>
  <conditionalFormatting sqref="E52:E53">
    <cfRule type="cellIs" dxfId="1455" priority="231" operator="lessThan">
      <formula>72</formula>
    </cfRule>
    <cfRule type="cellIs" dxfId="1454" priority="232" operator="greaterThan">
      <formula>71</formula>
    </cfRule>
  </conditionalFormatting>
  <conditionalFormatting sqref="E56">
    <cfRule type="cellIs" dxfId="1453" priority="229" operator="greaterThan">
      <formula>5.5</formula>
    </cfRule>
    <cfRule type="cellIs" dxfId="1452" priority="230" operator="lessThan">
      <formula>5.6</formula>
    </cfRule>
  </conditionalFormatting>
  <conditionalFormatting sqref="D47">
    <cfRule type="cellIs" dxfId="1451" priority="227" operator="lessThan">
      <formula>5</formula>
    </cfRule>
    <cfRule type="cellIs" dxfId="1450" priority="228" operator="greaterThan">
      <formula>4</formula>
    </cfRule>
  </conditionalFormatting>
  <conditionalFormatting sqref="D48">
    <cfRule type="cellIs" dxfId="1449" priority="225" operator="lessThan">
      <formula>2</formula>
    </cfRule>
    <cfRule type="cellIs" dxfId="1448" priority="226" operator="greaterThan">
      <formula>1</formula>
    </cfRule>
  </conditionalFormatting>
  <conditionalFormatting sqref="D49">
    <cfRule type="cellIs" dxfId="1447" priority="223" operator="lessThan">
      <formula>5</formula>
    </cfRule>
    <cfRule type="cellIs" dxfId="1446" priority="224" operator="greaterThan">
      <formula>4</formula>
    </cfRule>
  </conditionalFormatting>
  <conditionalFormatting sqref="D52:D53">
    <cfRule type="cellIs" dxfId="1445" priority="221" operator="lessThan">
      <formula>48</formula>
    </cfRule>
    <cfRule type="cellIs" dxfId="1444" priority="222" operator="greaterThan">
      <formula>47</formula>
    </cfRule>
  </conditionalFormatting>
  <conditionalFormatting sqref="D56">
    <cfRule type="cellIs" dxfId="1443" priority="219" operator="greaterThan">
      <formula>5.75</formula>
    </cfRule>
    <cfRule type="cellIs" dxfId="1442" priority="220" operator="lessThan">
      <formula>5.76</formula>
    </cfRule>
  </conditionalFormatting>
  <conditionalFormatting sqref="K36">
    <cfRule type="cellIs" dxfId="1441" priority="215" operator="lessThan">
      <formula>4</formula>
    </cfRule>
    <cfRule type="cellIs" dxfId="1440" priority="216" operator="lessThan">
      <formula>4.1</formula>
    </cfRule>
    <cfRule type="cellIs" dxfId="1439" priority="217" operator="greaterThan">
      <formula>4</formula>
    </cfRule>
    <cfRule type="cellIs" dxfId="1438" priority="218" operator="lessThan">
      <formula>4</formula>
    </cfRule>
  </conditionalFormatting>
  <conditionalFormatting sqref="K37">
    <cfRule type="cellIs" dxfId="1437" priority="213" operator="lessThan">
      <formula>0.499</formula>
    </cfRule>
    <cfRule type="cellIs" dxfId="1436" priority="214" operator="greaterThan">
      <formula>0.499</formula>
    </cfRule>
  </conditionalFormatting>
  <conditionalFormatting sqref="K38">
    <cfRule type="cellIs" dxfId="1435" priority="211" operator="lessThan">
      <formula>0.449</formula>
    </cfRule>
    <cfRule type="cellIs" dxfId="1434" priority="212" operator="greaterThan">
      <formula>0.449</formula>
    </cfRule>
  </conditionalFormatting>
  <conditionalFormatting sqref="K39">
    <cfRule type="cellIs" dxfId="1433" priority="132" operator="greaterThan">
      <formula>31.99</formula>
    </cfRule>
    <cfRule type="cellIs" dxfId="1432" priority="209" operator="lessThan">
      <formula>32.1</formula>
    </cfRule>
    <cfRule type="cellIs" dxfId="1431" priority="210" operator="greaterThan">
      <formula>32</formula>
    </cfRule>
  </conditionalFormatting>
  <conditionalFormatting sqref="K40">
    <cfRule type="cellIs" dxfId="1430" priority="207" operator="lessThan">
      <formula>1.78</formula>
    </cfRule>
    <cfRule type="cellIs" dxfId="1429" priority="208" operator="greaterThan">
      <formula>1.77</formula>
    </cfRule>
  </conditionalFormatting>
  <conditionalFormatting sqref="K41">
    <cfRule type="cellIs" dxfId="1428" priority="205" operator="lessThan">
      <formula>0.3499</formula>
    </cfRule>
    <cfRule type="cellIs" dxfId="1427" priority="206" operator="greaterThan">
      <formula>0.3499</formula>
    </cfRule>
  </conditionalFormatting>
  <conditionalFormatting sqref="K42">
    <cfRule type="cellIs" dxfId="1426" priority="203" operator="lessThan">
      <formula>0.7499</formula>
    </cfRule>
    <cfRule type="cellIs" dxfId="1425" priority="204" operator="greaterThan">
      <formula>0.7499</formula>
    </cfRule>
  </conditionalFormatting>
  <conditionalFormatting sqref="J36">
    <cfRule type="cellIs" dxfId="1424" priority="200" operator="lessThan">
      <formula>8</formula>
    </cfRule>
    <cfRule type="cellIs" dxfId="1423" priority="201" operator="greaterThan">
      <formula>7.9</formula>
    </cfRule>
    <cfRule type="cellIs" dxfId="1422" priority="202" operator="greaterThan">
      <formula>8</formula>
    </cfRule>
  </conditionalFormatting>
  <conditionalFormatting sqref="J37:J38 I38">
    <cfRule type="cellIs" dxfId="1421" priority="198" operator="lessThan">
      <formula>0.4</formula>
    </cfRule>
    <cfRule type="cellIs" dxfId="1420" priority="199" operator="greaterThan">
      <formula>0.3999</formula>
    </cfRule>
  </conditionalFormatting>
  <conditionalFormatting sqref="J39">
    <cfRule type="cellIs" dxfId="1419" priority="130" operator="lessThan">
      <formula>34</formula>
    </cfRule>
    <cfRule type="cellIs" dxfId="1418" priority="131" operator="greaterThan">
      <formula>33.9</formula>
    </cfRule>
    <cfRule type="cellIs" dxfId="1417" priority="196" operator="lessThan">
      <formula>34.1</formula>
    </cfRule>
    <cfRule type="cellIs" dxfId="1416" priority="197" operator="greaterThan">
      <formula>34</formula>
    </cfRule>
  </conditionalFormatting>
  <conditionalFormatting sqref="J40">
    <cfRule type="cellIs" dxfId="1415" priority="193" operator="lessThan">
      <formula>1.88</formula>
    </cfRule>
    <cfRule type="cellIs" dxfId="1414" priority="194" operator="lessThan">
      <formula>1.88</formula>
    </cfRule>
    <cfRule type="cellIs" dxfId="1413" priority="195" operator="greaterThan">
      <formula>1.87</formula>
    </cfRule>
  </conditionalFormatting>
  <conditionalFormatting sqref="I40">
    <cfRule type="cellIs" dxfId="1412" priority="191" operator="lessThan">
      <formula>2.01</formula>
    </cfRule>
    <cfRule type="cellIs" dxfId="1411" priority="192" operator="greaterThan">
      <formula>2</formula>
    </cfRule>
  </conditionalFormatting>
  <conditionalFormatting sqref="C40:H40">
    <cfRule type="cellIs" dxfId="1410" priority="188" operator="lessThan">
      <formula>2.08</formula>
    </cfRule>
    <cfRule type="cellIs" dxfId="1409" priority="189" operator="lessThan">
      <formula>2.08</formula>
    </cfRule>
    <cfRule type="cellIs" dxfId="1408" priority="190" operator="greaterThan">
      <formula>2.07</formula>
    </cfRule>
  </conditionalFormatting>
  <conditionalFormatting sqref="J44">
    <cfRule type="cellIs" dxfId="1407" priority="186" operator="lessThan">
      <formula>49.1</formula>
    </cfRule>
    <cfRule type="cellIs" dxfId="1406" priority="187" operator="greaterThan">
      <formula>49</formula>
    </cfRule>
  </conditionalFormatting>
  <conditionalFormatting sqref="J43">
    <cfRule type="cellIs" dxfId="1405" priority="184" operator="lessThan">
      <formula>45.1</formula>
    </cfRule>
    <cfRule type="cellIs" dxfId="1404" priority="185" operator="greaterThan">
      <formula>45</formula>
    </cfRule>
  </conditionalFormatting>
  <conditionalFormatting sqref="J42">
    <cfRule type="cellIs" dxfId="1403" priority="181" operator="lessThan">
      <formula>0.6999</formula>
    </cfRule>
    <cfRule type="cellIs" dxfId="1402" priority="182" operator="greaterThan">
      <formula>0.699</formula>
    </cfRule>
    <cfRule type="cellIs" dxfId="1401" priority="183" operator="greaterThan">
      <formula>0.699</formula>
    </cfRule>
  </conditionalFormatting>
  <conditionalFormatting sqref="J41">
    <cfRule type="cellIs" dxfId="1400" priority="179" operator="lessThan">
      <formula>0.2999</formula>
    </cfRule>
    <cfRule type="cellIs" dxfId="1399" priority="180" operator="greaterThan">
      <formula>0.299</formula>
    </cfRule>
  </conditionalFormatting>
  <conditionalFormatting sqref="G37:I37 C38:H38">
    <cfRule type="cellIs" dxfId="1398" priority="177" operator="lessThan">
      <formula>0.35</formula>
    </cfRule>
    <cfRule type="cellIs" dxfId="1397" priority="178" operator="greaterThan">
      <formula>0.349</formula>
    </cfRule>
  </conditionalFormatting>
  <conditionalFormatting sqref="I36">
    <cfRule type="cellIs" dxfId="1396" priority="173" operator="lessThan">
      <formula>10.1</formula>
    </cfRule>
    <cfRule type="cellIs" dxfId="1395" priority="174" operator="greaterThan">
      <formula>10</formula>
    </cfRule>
    <cfRule type="cellIs" dxfId="1394" priority="175" operator="lessThan">
      <formula>10</formula>
    </cfRule>
    <cfRule type="cellIs" dxfId="1393" priority="176" operator="greaterThan">
      <formula>10</formula>
    </cfRule>
  </conditionalFormatting>
  <conditionalFormatting sqref="I39">
    <cfRule type="cellIs" dxfId="1392" priority="128" operator="lessThan">
      <formula>37</formula>
    </cfRule>
    <cfRule type="cellIs" dxfId="1391" priority="129" operator="greaterThan">
      <formula>36.9</formula>
    </cfRule>
    <cfRule type="cellIs" dxfId="1390" priority="171" operator="lessThan">
      <formula>37.01</formula>
    </cfRule>
    <cfRule type="cellIs" dxfId="1389" priority="172" operator="greaterThan">
      <formula>37.01</formula>
    </cfRule>
  </conditionalFormatting>
  <conditionalFormatting sqref="I41">
    <cfRule type="cellIs" dxfId="1388" priority="169" operator="lessThan">
      <formula>0.249</formula>
    </cfRule>
    <cfRule type="cellIs" dxfId="1387" priority="170" operator="greaterThan">
      <formula>0.249</formula>
    </cfRule>
  </conditionalFormatting>
  <conditionalFormatting sqref="I42">
    <cfRule type="cellIs" dxfId="1386" priority="167" operator="lessThan">
      <formula>0.65</formula>
    </cfRule>
    <cfRule type="cellIs" dxfId="1385" priority="168" operator="greaterThan">
      <formula>0.649</formula>
    </cfRule>
  </conditionalFormatting>
  <conditionalFormatting sqref="I43">
    <cfRule type="cellIs" dxfId="1384" priority="114" operator="greaterThan">
      <formula>48.9</formula>
    </cfRule>
    <cfRule type="cellIs" dxfId="1383" priority="115" operator="lessThan">
      <formula>49</formula>
    </cfRule>
    <cfRule type="cellIs" dxfId="1382" priority="116" operator="lessThan">
      <formula>49</formula>
    </cfRule>
    <cfRule type="cellIs" dxfId="1381" priority="117" operator="greaterThan">
      <formula>48.9</formula>
    </cfRule>
    <cfRule type="cellIs" dxfId="1380" priority="165" operator="lessThan">
      <formula>47.1</formula>
    </cfRule>
    <cfRule type="cellIs" dxfId="1379" priority="166" operator="greaterThan">
      <formula>47</formula>
    </cfRule>
  </conditionalFormatting>
  <conditionalFormatting sqref="I44">
    <cfRule type="cellIs" dxfId="1378" priority="163" operator="lessThan">
      <formula>51.1</formula>
    </cfRule>
    <cfRule type="cellIs" dxfId="1377" priority="164" operator="greaterThan">
      <formula>51</formula>
    </cfRule>
  </conditionalFormatting>
  <conditionalFormatting sqref="G39:H39">
    <cfRule type="cellIs" dxfId="1376" priority="126" operator="lessThan">
      <formula>38</formula>
    </cfRule>
    <cfRule type="cellIs" dxfId="1375" priority="127" operator="greaterThan">
      <formula>37.9</formula>
    </cfRule>
    <cfRule type="cellIs" dxfId="1374" priority="161" operator="lessThan">
      <formula>38</formula>
    </cfRule>
    <cfRule type="cellIs" dxfId="1373" priority="162" operator="greaterThan">
      <formula>37.9</formula>
    </cfRule>
  </conditionalFormatting>
  <conditionalFormatting sqref="G41:H41">
    <cfRule type="cellIs" dxfId="1372" priority="159" operator="lessThan">
      <formula>0.25</formula>
    </cfRule>
    <cfRule type="cellIs" dxfId="1371" priority="160" operator="greaterThan">
      <formula>0.249</formula>
    </cfRule>
  </conditionalFormatting>
  <conditionalFormatting sqref="F42:H42">
    <cfRule type="cellIs" dxfId="1370" priority="157" operator="lessThan">
      <formula>0.6</formula>
    </cfRule>
    <cfRule type="cellIs" dxfId="1369" priority="158" operator="greaterThan">
      <formula>0.599</formula>
    </cfRule>
  </conditionalFormatting>
  <conditionalFormatting sqref="G36">
    <cfRule type="cellIs" dxfId="1368" priority="154" operator="lessThan">
      <formula>14</formula>
    </cfRule>
    <cfRule type="cellIs" dxfId="1367" priority="155" operator="greaterThan">
      <formula>13.99</formula>
    </cfRule>
    <cfRule type="cellIs" dxfId="1366" priority="156" operator="greaterThan">
      <formula>14</formula>
    </cfRule>
  </conditionalFormatting>
  <conditionalFormatting sqref="F36">
    <cfRule type="cellIs" dxfId="1365" priority="152" operator="lessThan">
      <formula>16</formula>
    </cfRule>
    <cfRule type="cellIs" dxfId="1364" priority="153" operator="greaterThan">
      <formula>15.9</formula>
    </cfRule>
  </conditionalFormatting>
  <conditionalFormatting sqref="E36">
    <cfRule type="cellIs" dxfId="1363" priority="150" operator="lessThan">
      <formula>18</formula>
    </cfRule>
    <cfRule type="cellIs" dxfId="1362" priority="151" operator="greaterThan">
      <formula>17.9</formula>
    </cfRule>
  </conditionalFormatting>
  <conditionalFormatting sqref="C36:D36">
    <cfRule type="cellIs" dxfId="1361" priority="148" operator="lessThan">
      <formula>24</formula>
    </cfRule>
    <cfRule type="cellIs" dxfId="1360" priority="149" operator="greaterThan">
      <formula>23.99</formula>
    </cfRule>
  </conditionalFormatting>
  <conditionalFormatting sqref="C37:F37">
    <cfRule type="cellIs" dxfId="1359" priority="145" operator="greaterThan">
      <formula>0.249</formula>
    </cfRule>
    <cfRule type="cellIs" dxfId="1358" priority="146" operator="lessThan">
      <formula>0.25</formula>
    </cfRule>
    <cfRule type="cellIs" dxfId="1357" priority="147" operator="greaterThan">
      <formula>24.9</formula>
    </cfRule>
  </conditionalFormatting>
  <conditionalFormatting sqref="C39:F39">
    <cfRule type="cellIs" dxfId="1356" priority="124" operator="lessThan">
      <formula>39.99</formula>
    </cfRule>
    <cfRule type="cellIs" dxfId="1355" priority="125" operator="greaterThan">
      <formula>39.99</formula>
    </cfRule>
    <cfRule type="cellIs" dxfId="1354" priority="143" operator="lessThan">
      <formula>40.1</formula>
    </cfRule>
    <cfRule type="cellIs" dxfId="1353" priority="144" operator="greaterThan">
      <formula>40</formula>
    </cfRule>
  </conditionalFormatting>
  <conditionalFormatting sqref="C41:F41">
    <cfRule type="cellIs" dxfId="1352" priority="141" operator="lessThan">
      <formula>0.15</formula>
    </cfRule>
    <cfRule type="cellIs" dxfId="1351" priority="142" operator="greaterThan">
      <formula>0.149</formula>
    </cfRule>
  </conditionalFormatting>
  <conditionalFormatting sqref="D42:E42">
    <cfRule type="cellIs" dxfId="1350" priority="139" operator="lessThan">
      <formula>0.5</formula>
    </cfRule>
    <cfRule type="cellIs" dxfId="1349" priority="140" operator="greaterThan">
      <formula>0.499</formula>
    </cfRule>
  </conditionalFormatting>
  <conditionalFormatting sqref="C42">
    <cfRule type="cellIs" dxfId="1348" priority="135" operator="lessThan">
      <formula>0.4</formula>
    </cfRule>
    <cfRule type="cellIs" dxfId="1347" priority="136" operator="greaterThan">
      <formula>0.399</formula>
    </cfRule>
    <cfRule type="cellIs" dxfId="1346" priority="137" operator="lessThan">
      <formula>0.4</formula>
    </cfRule>
    <cfRule type="cellIs" dxfId="1345" priority="138" operator="greaterThan">
      <formula>0.499</formula>
    </cfRule>
  </conditionalFormatting>
  <conditionalFormatting sqref="C38:F38">
    <cfRule type="cellIs" dxfId="1344" priority="133" operator="lessThan">
      <formula>0.3</formula>
    </cfRule>
    <cfRule type="cellIs" dxfId="1343" priority="134" operator="greaterThan">
      <formula>0.299</formula>
    </cfRule>
  </conditionalFormatting>
  <conditionalFormatting sqref="C47:C49">
    <cfRule type="cellIs" dxfId="1342" priority="122" operator="lessThan">
      <formula>1</formula>
    </cfRule>
    <cfRule type="cellIs" dxfId="1341" priority="123" operator="greaterThan">
      <formula>0.9</formula>
    </cfRule>
  </conditionalFormatting>
  <conditionalFormatting sqref="C52:C53">
    <cfRule type="cellIs" dxfId="1340" priority="120" operator="lessThan">
      <formula>24</formula>
    </cfRule>
    <cfRule type="cellIs" dxfId="1339" priority="121" operator="greaterThan">
      <formula>23.9</formula>
    </cfRule>
  </conditionalFormatting>
  <conditionalFormatting sqref="C56">
    <cfRule type="cellIs" dxfId="1338" priority="118" operator="lessThan">
      <formula>6</formula>
    </cfRule>
    <cfRule type="cellIs" dxfId="1337" priority="119" operator="greaterThan">
      <formula>5.99</formula>
    </cfRule>
  </conditionalFormatting>
  <conditionalFormatting sqref="H43">
    <cfRule type="cellIs" dxfId="1336" priority="112" operator="lessThan">
      <formula>49</formula>
    </cfRule>
    <cfRule type="cellIs" dxfId="1335" priority="113" operator="greaterThan">
      <formula>48.9</formula>
    </cfRule>
  </conditionalFormatting>
  <conditionalFormatting sqref="G43">
    <cfRule type="cellIs" dxfId="1334" priority="110" operator="lessThan">
      <formula>51</formula>
    </cfRule>
    <cfRule type="cellIs" dxfId="1333" priority="111" operator="greaterThan">
      <formula>50.9</formula>
    </cfRule>
  </conditionalFormatting>
  <conditionalFormatting sqref="F43">
    <cfRule type="cellIs" dxfId="1332" priority="108" operator="lessThan">
      <formula>53</formula>
    </cfRule>
    <cfRule type="cellIs" dxfId="1331" priority="109" operator="greaterThan">
      <formula>52.9</formula>
    </cfRule>
  </conditionalFormatting>
  <conditionalFormatting sqref="E43">
    <cfRule type="cellIs" dxfId="1330" priority="106" operator="lessThan">
      <formula>55</formula>
    </cfRule>
    <cfRule type="cellIs" dxfId="1329" priority="107" operator="greaterThan">
      <formula>54.9</formula>
    </cfRule>
  </conditionalFormatting>
  <conditionalFormatting sqref="D43">
    <cfRule type="cellIs" dxfId="1328" priority="104" operator="lessThan">
      <formula>57</formula>
    </cfRule>
    <cfRule type="cellIs" dxfId="1327" priority="105" operator="greaterThan">
      <formula>56.9</formula>
    </cfRule>
  </conditionalFormatting>
  <conditionalFormatting sqref="C43">
    <cfRule type="cellIs" dxfId="1326" priority="102" operator="lessThan">
      <formula>57</formula>
    </cfRule>
    <cfRule type="cellIs" dxfId="1325" priority="103" operator="greaterThan">
      <formula>56.9</formula>
    </cfRule>
  </conditionalFormatting>
  <conditionalFormatting sqref="H44">
    <cfRule type="cellIs" dxfId="1324" priority="100" operator="lessThan">
      <formula>53</formula>
    </cfRule>
    <cfRule type="cellIs" dxfId="1323" priority="101" operator="greaterThan">
      <formula>52.9</formula>
    </cfRule>
  </conditionalFormatting>
  <conditionalFormatting sqref="G44">
    <cfRule type="cellIs" dxfId="1322" priority="98" operator="lessThan">
      <formula>55</formula>
    </cfRule>
    <cfRule type="cellIs" dxfId="1321" priority="99" operator="greaterThan">
      <formula>54.9</formula>
    </cfRule>
  </conditionalFormatting>
  <conditionalFormatting sqref="F44">
    <cfRule type="cellIs" dxfId="1320" priority="96" operator="lessThan">
      <formula>57</formula>
    </cfRule>
    <cfRule type="cellIs" dxfId="1319" priority="97" operator="greaterThan">
      <formula>56.9</formula>
    </cfRule>
  </conditionalFormatting>
  <conditionalFormatting sqref="E44">
    <cfRule type="cellIs" dxfId="1318" priority="94" operator="lessThan">
      <formula>59</formula>
    </cfRule>
    <cfRule type="cellIs" dxfId="1317" priority="95" operator="greaterThan">
      <formula>58.9</formula>
    </cfRule>
  </conditionalFormatting>
  <conditionalFormatting sqref="D44">
    <cfRule type="cellIs" dxfId="1316" priority="92" operator="lessThan">
      <formula>61</formula>
    </cfRule>
    <cfRule type="cellIs" dxfId="1315" priority="93" operator="greaterThan">
      <formula>60.9</formula>
    </cfRule>
  </conditionalFormatting>
  <conditionalFormatting sqref="C44">
    <cfRule type="cellIs" dxfId="1314" priority="90" operator="lessThan">
      <formula>63</formula>
    </cfRule>
    <cfRule type="cellIs" dxfId="1313" priority="91" operator="greaterThan">
      <formula>62.9</formula>
    </cfRule>
  </conditionalFormatting>
  <conditionalFormatting sqref="C50">
    <cfRule type="cellIs" dxfId="1312" priority="88" operator="lessThanOrEqual">
      <formula>5</formula>
    </cfRule>
    <cfRule type="cellIs" dxfId="1311" priority="89" operator="greaterThanOrEqual">
      <formula>5</formula>
    </cfRule>
  </conditionalFormatting>
  <conditionalFormatting sqref="D50">
    <cfRule type="cellIs" dxfId="1310" priority="86" operator="greaterThanOrEqual">
      <formula>6</formula>
    </cfRule>
    <cfRule type="cellIs" dxfId="1309" priority="87" operator="lessThan">
      <formula>6</formula>
    </cfRule>
  </conditionalFormatting>
  <conditionalFormatting sqref="E50">
    <cfRule type="cellIs" dxfId="1308" priority="84" operator="greaterThanOrEqual">
      <formula>7</formula>
    </cfRule>
    <cfRule type="cellIs" dxfId="1307" priority="85" operator="lessThan">
      <formula>7</formula>
    </cfRule>
  </conditionalFormatting>
  <conditionalFormatting sqref="F50">
    <cfRule type="cellIs" dxfId="1306" priority="82" operator="lessThan">
      <formula>10</formula>
    </cfRule>
    <cfRule type="cellIs" dxfId="1305" priority="83" operator="greaterThanOrEqual">
      <formula>10</formula>
    </cfRule>
  </conditionalFormatting>
  <conditionalFormatting sqref="G50">
    <cfRule type="cellIs" dxfId="1304" priority="80" operator="lessThan">
      <formula>12</formula>
    </cfRule>
    <cfRule type="cellIs" dxfId="1303" priority="81" operator="greaterThanOrEqual">
      <formula>12</formula>
    </cfRule>
  </conditionalFormatting>
  <conditionalFormatting sqref="H50">
    <cfRule type="cellIs" dxfId="1302" priority="78" operator="lessThan">
      <formula>14</formula>
    </cfRule>
    <cfRule type="cellIs" dxfId="1301" priority="79" operator="greaterThanOrEqual">
      <formula>14</formula>
    </cfRule>
  </conditionalFormatting>
  <conditionalFormatting sqref="I50">
    <cfRule type="cellIs" dxfId="1300" priority="76" operator="lessThan">
      <formula>17</formula>
    </cfRule>
    <cfRule type="cellIs" dxfId="1299" priority="77" operator="greaterThanOrEqual">
      <formula>17</formula>
    </cfRule>
  </conditionalFormatting>
  <conditionalFormatting sqref="J50">
    <cfRule type="cellIs" dxfId="1298" priority="74" operator="lessThan">
      <formula>19</formula>
    </cfRule>
    <cfRule type="cellIs" dxfId="1297" priority="75" operator="greaterThanOrEqual">
      <formula>19</formula>
    </cfRule>
  </conditionalFormatting>
  <conditionalFormatting sqref="K50">
    <cfRule type="cellIs" dxfId="1296" priority="72" operator="lessThan">
      <formula>22</formula>
    </cfRule>
    <cfRule type="cellIs" dxfId="1295" priority="73" operator="greaterThanOrEqual">
      <formula>22</formula>
    </cfRule>
  </conditionalFormatting>
  <conditionalFormatting sqref="L50">
    <cfRule type="cellIs" dxfId="1294" priority="70" operator="lessThan">
      <formula>24</formula>
    </cfRule>
    <cfRule type="cellIs" dxfId="1293" priority="71" operator="greaterThanOrEqual">
      <formula>24</formula>
    </cfRule>
  </conditionalFormatting>
  <conditionalFormatting sqref="C51">
    <cfRule type="cellIs" dxfId="1292" priority="68" operator="lessThanOrEqual">
      <formula>5</formula>
    </cfRule>
    <cfRule type="cellIs" dxfId="1291" priority="69" operator="greaterThanOrEqual">
      <formula>5</formula>
    </cfRule>
  </conditionalFormatting>
  <conditionalFormatting sqref="D51">
    <cfRule type="cellIs" dxfId="1290" priority="66" operator="greaterThanOrEqual">
      <formula>6</formula>
    </cfRule>
    <cfRule type="cellIs" dxfId="1289" priority="67" operator="lessThan">
      <formula>6</formula>
    </cfRule>
  </conditionalFormatting>
  <conditionalFormatting sqref="E51">
    <cfRule type="cellIs" dxfId="1288" priority="64" operator="greaterThanOrEqual">
      <formula>7</formula>
    </cfRule>
    <cfRule type="cellIs" dxfId="1287" priority="65" operator="lessThan">
      <formula>7</formula>
    </cfRule>
  </conditionalFormatting>
  <conditionalFormatting sqref="F51">
    <cfRule type="cellIs" dxfId="1286" priority="62" operator="lessThan">
      <formula>10</formula>
    </cfRule>
    <cfRule type="cellIs" dxfId="1285" priority="63" operator="greaterThanOrEqual">
      <formula>10</formula>
    </cfRule>
  </conditionalFormatting>
  <conditionalFormatting sqref="G51">
    <cfRule type="cellIs" dxfId="1284" priority="60" operator="lessThan">
      <formula>12</formula>
    </cfRule>
    <cfRule type="cellIs" dxfId="1283" priority="61" operator="greaterThanOrEqual">
      <formula>12</formula>
    </cfRule>
  </conditionalFormatting>
  <conditionalFormatting sqref="H51">
    <cfRule type="cellIs" dxfId="1282" priority="58" operator="lessThan">
      <formula>14</formula>
    </cfRule>
    <cfRule type="cellIs" dxfId="1281" priority="59" operator="greaterThanOrEqual">
      <formula>14</formula>
    </cfRule>
  </conditionalFormatting>
  <conditionalFormatting sqref="I51">
    <cfRule type="cellIs" dxfId="1280" priority="56" operator="lessThan">
      <formula>17</formula>
    </cfRule>
    <cfRule type="cellIs" dxfId="1279" priority="57" operator="greaterThanOrEqual">
      <formula>17</formula>
    </cfRule>
  </conditionalFormatting>
  <conditionalFormatting sqref="J51">
    <cfRule type="cellIs" dxfId="1278" priority="54" operator="lessThan">
      <formula>19</formula>
    </cfRule>
    <cfRule type="cellIs" dxfId="1277" priority="55" operator="greaterThanOrEqual">
      <formula>19</formula>
    </cfRule>
  </conditionalFormatting>
  <conditionalFormatting sqref="K51">
    <cfRule type="cellIs" dxfId="1276" priority="52" operator="lessThan">
      <formula>22</formula>
    </cfRule>
    <cfRule type="cellIs" dxfId="1275" priority="53" operator="greaterThanOrEqual">
      <formula>22</formula>
    </cfRule>
  </conditionalFormatting>
  <conditionalFormatting sqref="L51">
    <cfRule type="cellIs" dxfId="1274" priority="50" operator="lessThan">
      <formula>24</formula>
    </cfRule>
    <cfRule type="cellIs" dxfId="1273" priority="51" operator="greaterThanOrEqual">
      <formula>24</formula>
    </cfRule>
  </conditionalFormatting>
  <conditionalFormatting sqref="C54">
    <cfRule type="cellIs" dxfId="1272" priority="39" operator="greaterThanOrEqual">
      <formula>0.08</formula>
    </cfRule>
    <cfRule type="cellIs" dxfId="1271" priority="49" operator="lessThan">
      <formula>0.08</formula>
    </cfRule>
  </conditionalFormatting>
  <conditionalFormatting sqref="D54">
    <cfRule type="cellIs" dxfId="1270" priority="38" operator="greaterThanOrEqual">
      <formula>0.1</formula>
    </cfRule>
    <cfRule type="cellIs" dxfId="1269" priority="48" operator="lessThan">
      <formula>0.1</formula>
    </cfRule>
  </conditionalFormatting>
  <conditionalFormatting sqref="E54">
    <cfRule type="cellIs" dxfId="1268" priority="37" operator="greaterThanOrEqual">
      <formula>1</formula>
    </cfRule>
    <cfRule type="cellIs" dxfId="1267" priority="47" operator="lessThan">
      <formula>1</formula>
    </cfRule>
  </conditionalFormatting>
  <conditionalFormatting sqref="F54">
    <cfRule type="cellIs" dxfId="1266" priority="36" operator="greaterThanOrEqual">
      <formula>1.02</formula>
    </cfRule>
    <cfRule type="cellIs" dxfId="1265" priority="46" operator="lessThan">
      <formula>1.02</formula>
    </cfRule>
  </conditionalFormatting>
  <conditionalFormatting sqref="G54">
    <cfRule type="cellIs" dxfId="1264" priority="35" operator="greaterThanOrEqual">
      <formula>1.04</formula>
    </cfRule>
    <cfRule type="cellIs" dxfId="1263" priority="45" operator="lessThan">
      <formula>1.04</formula>
    </cfRule>
  </conditionalFormatting>
  <conditionalFormatting sqref="H54">
    <cfRule type="cellIs" dxfId="1262" priority="34" operator="greaterThanOrEqual">
      <formula>1.06</formula>
    </cfRule>
    <cfRule type="cellIs" dxfId="1261" priority="44" operator="lessThan">
      <formula>1.06</formula>
    </cfRule>
  </conditionalFormatting>
  <conditionalFormatting sqref="I54">
    <cfRule type="cellIs" dxfId="1260" priority="33" operator="greaterThanOrEqual">
      <formula>1.08</formula>
    </cfRule>
    <cfRule type="cellIs" dxfId="1259" priority="43" operator="lessThan">
      <formula>1.08</formula>
    </cfRule>
  </conditionalFormatting>
  <conditionalFormatting sqref="J54">
    <cfRule type="cellIs" dxfId="1258" priority="32" operator="greaterThanOrEqual">
      <formula>1.1</formula>
    </cfRule>
    <cfRule type="cellIs" dxfId="1257" priority="42" operator="lessThan">
      <formula>1.1</formula>
    </cfRule>
  </conditionalFormatting>
  <conditionalFormatting sqref="K54">
    <cfRule type="cellIs" dxfId="1256" priority="31" operator="greaterThanOrEqual">
      <formula>2</formula>
    </cfRule>
    <cfRule type="cellIs" dxfId="1255" priority="41" operator="lessThan">
      <formula>2</formula>
    </cfRule>
  </conditionalFormatting>
  <conditionalFormatting sqref="L54">
    <cfRule type="cellIs" dxfId="1254" priority="30" operator="greaterThanOrEqual">
      <formula>2.04</formula>
    </cfRule>
    <cfRule type="cellIs" dxfId="1253" priority="40" operator="lessThan">
      <formula>2.04</formula>
    </cfRule>
  </conditionalFormatting>
  <conditionalFormatting sqref="C55">
    <cfRule type="cellIs" dxfId="1252" priority="26" operator="lessThan">
      <formula>3.08</formula>
    </cfRule>
    <cfRule type="cellIs" dxfId="1251" priority="29" operator="greaterThanOrEqual">
      <formula>3.08</formula>
    </cfRule>
  </conditionalFormatting>
  <conditionalFormatting sqref="D55">
    <cfRule type="cellIs" dxfId="1250" priority="25" operator="lessThan">
      <formula>4.02</formula>
    </cfRule>
    <cfRule type="cellIs" dxfId="1249" priority="28" operator="greaterThanOrEqual">
      <formula>4.02</formula>
    </cfRule>
  </conditionalFormatting>
  <conditionalFormatting sqref="E55">
    <cfRule type="cellIs" dxfId="1248" priority="24" operator="lessThan">
      <formula>4.08</formula>
    </cfRule>
    <cfRule type="cellIs" dxfId="1247" priority="27" operator="greaterThanOrEqual">
      <formula>4.08</formula>
    </cfRule>
  </conditionalFormatting>
  <conditionalFormatting sqref="F55">
    <cfRule type="cellIs" dxfId="1246" priority="22" operator="lessThan">
      <formula>5.02</formula>
    </cfRule>
    <cfRule type="cellIs" dxfId="1245" priority="23" operator="greaterThanOrEqual">
      <formula>5.02</formula>
    </cfRule>
  </conditionalFormatting>
  <conditionalFormatting sqref="G55">
    <cfRule type="cellIs" dxfId="1244" priority="19" operator="lessThan">
      <formula>5.08</formula>
    </cfRule>
    <cfRule type="cellIs" dxfId="1243" priority="21" operator="greaterThanOrEqual">
      <formula>5.08</formula>
    </cfRule>
  </conditionalFormatting>
  <conditionalFormatting sqref="H55">
    <cfRule type="cellIs" dxfId="1242" priority="10" operator="greaterThanOrEqual">
      <formula>6.02</formula>
    </cfRule>
    <cfRule type="cellIs" dxfId="1241" priority="20" operator="lessThan">
      <formula>6.08</formula>
    </cfRule>
  </conditionalFormatting>
  <conditionalFormatting sqref="I55">
    <cfRule type="cellIs" dxfId="1240" priority="17" operator="lessThan">
      <formula>6.08</formula>
    </cfRule>
    <cfRule type="cellIs" dxfId="1239" priority="18" operator="greaterThanOrEqual">
      <formula>6.08</formula>
    </cfRule>
  </conditionalFormatting>
  <conditionalFormatting sqref="J55">
    <cfRule type="cellIs" dxfId="1238" priority="15" operator="lessThan">
      <formula>7.02</formula>
    </cfRule>
    <cfRule type="cellIs" dxfId="1237" priority="16" operator="greaterThanOrEqual">
      <formula>7.02</formula>
    </cfRule>
  </conditionalFormatting>
  <conditionalFormatting sqref="K55">
    <cfRule type="cellIs" dxfId="1236" priority="13" operator="lessThan">
      <formula>7.08</formula>
    </cfRule>
    <cfRule type="cellIs" dxfId="1235" priority="14" operator="greaterThanOrEqual">
      <formula>7.08</formula>
    </cfRule>
  </conditionalFormatting>
  <conditionalFormatting sqref="L55">
    <cfRule type="cellIs" dxfId="1234" priority="11" operator="lessThan">
      <formula>8</formula>
    </cfRule>
    <cfRule type="cellIs" dxfId="1233" priority="12" operator="greaterThanOrEqual">
      <formula>8</formula>
    </cfRule>
  </conditionalFormatting>
  <conditionalFormatting sqref="H36">
    <cfRule type="cellIs" dxfId="1232" priority="8" operator="greaterThan">
      <formula>11.9</formula>
    </cfRule>
    <cfRule type="cellIs" dxfId="1231" priority="9" operator="lessThan">
      <formula>12</formula>
    </cfRule>
  </conditionalFormatting>
  <conditionalFormatting sqref="I86">
    <cfRule type="cellIs" dxfId="1230" priority="1" operator="lessThan">
      <formula>1</formula>
    </cfRule>
    <cfRule type="cellIs" dxfId="1229" priority="2" operator="lessThan">
      <formula>0</formula>
    </cfRule>
    <cfRule type="cellIs" dxfId="1228" priority="3" operator="lessThan">
      <formula>0</formula>
    </cfRule>
  </conditionalFormatting>
  <conditionalFormatting sqref="I79">
    <cfRule type="cellIs" dxfId="1227" priority="5" operator="lessThan">
      <formula>1</formula>
    </cfRule>
    <cfRule type="cellIs" dxfId="1226" priority="6" operator="lessThan">
      <formula>0</formula>
    </cfRule>
    <cfRule type="cellIs" dxfId="1225" priority="7" operator="lessThan">
      <formula>0</formula>
    </cfRule>
  </conditionalFormatting>
  <conditionalFormatting sqref="I89:I90 I93:I94">
    <cfRule type="cellIs" dxfId="1224" priority="4" operator="lessThan">
      <formula>1</formula>
    </cfRule>
  </conditionalFormatting>
  <printOptions gridLines="1"/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11"/>
  <sheetViews>
    <sheetView topLeftCell="A98" zoomScale="78" zoomScaleNormal="78" workbookViewId="0">
      <selection activeCell="H103" sqref="H103"/>
    </sheetView>
  </sheetViews>
  <sheetFormatPr defaultRowHeight="15" x14ac:dyDescent="0.25"/>
  <cols>
    <col min="1" max="1" width="36.5703125" customWidth="1"/>
    <col min="2" max="2" width="13.7109375" customWidth="1"/>
    <col min="3" max="4" width="14.85546875" customWidth="1"/>
    <col min="5" max="12" width="15.7109375" customWidth="1"/>
    <col min="13" max="13" width="2.85546875" style="29" customWidth="1"/>
    <col min="14" max="15" width="15.7109375" customWidth="1"/>
  </cols>
  <sheetData>
    <row r="1" spans="1:17" ht="36.75" customHeight="1" x14ac:dyDescent="0.25">
      <c r="A1" s="67" t="s">
        <v>62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7" x14ac:dyDescent="0.25">
      <c r="B2" s="1" t="s">
        <v>21</v>
      </c>
      <c r="C2" s="20" t="s">
        <v>131</v>
      </c>
      <c r="D2" s="20" t="s">
        <v>132</v>
      </c>
      <c r="E2" s="6" t="s">
        <v>133</v>
      </c>
      <c r="F2" s="6" t="s">
        <v>134</v>
      </c>
      <c r="G2" s="7" t="s">
        <v>135</v>
      </c>
      <c r="H2" s="7" t="s">
        <v>136</v>
      </c>
      <c r="I2" s="8" t="s">
        <v>137</v>
      </c>
      <c r="J2" s="8" t="s">
        <v>138</v>
      </c>
      <c r="K2" s="9" t="s">
        <v>139</v>
      </c>
      <c r="L2" s="23" t="s">
        <v>140</v>
      </c>
      <c r="M2" s="10"/>
      <c r="N2" s="71" t="s">
        <v>203</v>
      </c>
      <c r="O2" s="72"/>
      <c r="P2" s="21"/>
      <c r="Q2" s="21"/>
    </row>
    <row r="3" spans="1:17" ht="18.75" x14ac:dyDescent="0.3">
      <c r="A3" s="3" t="s">
        <v>0</v>
      </c>
      <c r="B3" s="30"/>
      <c r="C3" s="30"/>
      <c r="D3" s="29"/>
      <c r="E3" s="29"/>
      <c r="F3" s="29"/>
      <c r="G3" s="29"/>
      <c r="H3" s="29"/>
      <c r="I3" s="29"/>
      <c r="J3" s="29"/>
      <c r="K3" s="29"/>
      <c r="L3" s="29"/>
      <c r="N3" s="1" t="s">
        <v>141</v>
      </c>
      <c r="O3" s="21"/>
      <c r="P3" s="21"/>
      <c r="Q3" s="21"/>
    </row>
    <row r="4" spans="1:17" x14ac:dyDescent="0.25">
      <c r="A4" s="2" t="s">
        <v>1</v>
      </c>
      <c r="B4" s="2" t="s">
        <v>22</v>
      </c>
      <c r="C4" s="19">
        <f t="shared" ref="C4:C10" si="0">N4</f>
        <v>4</v>
      </c>
      <c r="D4" s="18">
        <f t="shared" ref="D4:D10" si="1">N4</f>
        <v>4</v>
      </c>
      <c r="E4" s="18">
        <f t="shared" ref="E4:E10" si="2">N4</f>
        <v>4</v>
      </c>
      <c r="F4" s="18">
        <f t="shared" ref="F4:F10" si="3">N4</f>
        <v>4</v>
      </c>
      <c r="G4" s="18">
        <f t="shared" ref="G4:G10" si="4">N4</f>
        <v>4</v>
      </c>
      <c r="H4" s="18">
        <f t="shared" ref="H4:H10" si="5">N4</f>
        <v>4</v>
      </c>
      <c r="I4" s="18">
        <f t="shared" ref="I4:I10" si="6">N4</f>
        <v>4</v>
      </c>
      <c r="J4" s="18">
        <f t="shared" ref="J4:J10" si="7">N4</f>
        <v>4</v>
      </c>
      <c r="K4" s="18">
        <f t="shared" ref="K4:K10" si="8">N4</f>
        <v>4</v>
      </c>
      <c r="L4" s="18">
        <f>N4</f>
        <v>4</v>
      </c>
      <c r="N4" s="18">
        <v>4</v>
      </c>
    </row>
    <row r="5" spans="1:17" x14ac:dyDescent="0.25">
      <c r="A5" s="2" t="s">
        <v>2</v>
      </c>
      <c r="B5" s="2" t="s">
        <v>22</v>
      </c>
      <c r="C5" s="19">
        <f t="shared" si="0"/>
        <v>4</v>
      </c>
      <c r="D5" s="18">
        <f t="shared" si="1"/>
        <v>4</v>
      </c>
      <c r="E5" s="18">
        <f t="shared" si="2"/>
        <v>4</v>
      </c>
      <c r="F5" s="18">
        <f t="shared" si="3"/>
        <v>4</v>
      </c>
      <c r="G5" s="18">
        <f t="shared" si="4"/>
        <v>4</v>
      </c>
      <c r="H5" s="18">
        <f t="shared" si="5"/>
        <v>4</v>
      </c>
      <c r="I5" s="18">
        <f t="shared" si="6"/>
        <v>4</v>
      </c>
      <c r="J5" s="18">
        <f t="shared" si="7"/>
        <v>4</v>
      </c>
      <c r="K5" s="18">
        <f t="shared" si="8"/>
        <v>4</v>
      </c>
      <c r="L5" s="18">
        <f t="shared" ref="L5:L10" si="9">N5</f>
        <v>4</v>
      </c>
      <c r="N5" s="18">
        <v>4</v>
      </c>
    </row>
    <row r="6" spans="1:17" x14ac:dyDescent="0.25">
      <c r="A6" s="2" t="s">
        <v>3</v>
      </c>
      <c r="B6" s="2" t="s">
        <v>22</v>
      </c>
      <c r="C6" s="19">
        <f t="shared" si="0"/>
        <v>4</v>
      </c>
      <c r="D6" s="19">
        <f t="shared" si="1"/>
        <v>4</v>
      </c>
      <c r="E6" s="18">
        <f t="shared" si="2"/>
        <v>4</v>
      </c>
      <c r="F6" s="18">
        <f t="shared" si="3"/>
        <v>4</v>
      </c>
      <c r="G6" s="18">
        <f t="shared" si="4"/>
        <v>4</v>
      </c>
      <c r="H6" s="18">
        <f t="shared" si="5"/>
        <v>4</v>
      </c>
      <c r="I6" s="18">
        <f t="shared" si="6"/>
        <v>4</v>
      </c>
      <c r="J6" s="18">
        <f t="shared" si="7"/>
        <v>4</v>
      </c>
      <c r="K6" s="18">
        <f t="shared" si="8"/>
        <v>4</v>
      </c>
      <c r="L6" s="18">
        <f t="shared" si="9"/>
        <v>4</v>
      </c>
      <c r="N6" s="18">
        <v>4</v>
      </c>
    </row>
    <row r="7" spans="1:17" x14ac:dyDescent="0.25">
      <c r="A7" s="2" t="s">
        <v>4</v>
      </c>
      <c r="B7" s="2" t="s">
        <v>22</v>
      </c>
      <c r="C7" s="19">
        <f t="shared" si="0"/>
        <v>4</v>
      </c>
      <c r="D7" s="19">
        <f t="shared" si="1"/>
        <v>4</v>
      </c>
      <c r="E7" s="18">
        <f t="shared" si="2"/>
        <v>4</v>
      </c>
      <c r="F7" s="18">
        <f t="shared" si="3"/>
        <v>4</v>
      </c>
      <c r="G7" s="18">
        <f t="shared" si="4"/>
        <v>4</v>
      </c>
      <c r="H7" s="18">
        <f t="shared" si="5"/>
        <v>4</v>
      </c>
      <c r="I7" s="18">
        <f t="shared" si="6"/>
        <v>4</v>
      </c>
      <c r="J7" s="18">
        <f t="shared" si="7"/>
        <v>4</v>
      </c>
      <c r="K7" s="18">
        <f t="shared" si="8"/>
        <v>4</v>
      </c>
      <c r="L7" s="18">
        <f t="shared" si="9"/>
        <v>4</v>
      </c>
      <c r="N7" s="18">
        <v>4</v>
      </c>
    </row>
    <row r="8" spans="1:17" x14ac:dyDescent="0.25">
      <c r="A8" s="2" t="s">
        <v>5</v>
      </c>
      <c r="B8" s="2" t="s">
        <v>22</v>
      </c>
      <c r="C8" s="19">
        <f t="shared" si="0"/>
        <v>3</v>
      </c>
      <c r="D8" s="19">
        <f t="shared" si="1"/>
        <v>3</v>
      </c>
      <c r="E8" s="18">
        <f t="shared" si="2"/>
        <v>3</v>
      </c>
      <c r="F8" s="18">
        <f t="shared" si="3"/>
        <v>3</v>
      </c>
      <c r="G8" s="18">
        <f t="shared" si="4"/>
        <v>3</v>
      </c>
      <c r="H8" s="18">
        <f t="shared" si="5"/>
        <v>3</v>
      </c>
      <c r="I8" s="18">
        <f t="shared" si="6"/>
        <v>3</v>
      </c>
      <c r="J8" s="18">
        <f t="shared" si="7"/>
        <v>3</v>
      </c>
      <c r="K8" s="18">
        <f t="shared" si="8"/>
        <v>3</v>
      </c>
      <c r="L8" s="18">
        <f t="shared" si="9"/>
        <v>3</v>
      </c>
      <c r="N8" s="18">
        <v>3</v>
      </c>
    </row>
    <row r="9" spans="1:17" x14ac:dyDescent="0.25">
      <c r="A9" s="2" t="s">
        <v>6</v>
      </c>
      <c r="B9" s="2" t="s">
        <v>1</v>
      </c>
      <c r="C9" s="19">
        <f t="shared" si="0"/>
        <v>2</v>
      </c>
      <c r="D9" s="19">
        <f t="shared" si="1"/>
        <v>2</v>
      </c>
      <c r="E9" s="18">
        <f t="shared" si="2"/>
        <v>2</v>
      </c>
      <c r="F9" s="18">
        <f t="shared" si="3"/>
        <v>2</v>
      </c>
      <c r="G9" s="18">
        <f t="shared" si="4"/>
        <v>2</v>
      </c>
      <c r="H9" s="18">
        <f t="shared" si="5"/>
        <v>2</v>
      </c>
      <c r="I9" s="18">
        <f t="shared" si="6"/>
        <v>2</v>
      </c>
      <c r="J9" s="18">
        <f t="shared" si="7"/>
        <v>2</v>
      </c>
      <c r="K9" s="18">
        <f t="shared" si="8"/>
        <v>2</v>
      </c>
      <c r="L9" s="18">
        <f t="shared" si="9"/>
        <v>2</v>
      </c>
      <c r="N9" s="18">
        <v>2</v>
      </c>
    </row>
    <row r="10" spans="1:17" x14ac:dyDescent="0.25">
      <c r="A10" s="2" t="s">
        <v>7</v>
      </c>
      <c r="B10" s="2" t="s">
        <v>2</v>
      </c>
      <c r="C10" s="19">
        <f t="shared" si="0"/>
        <v>4</v>
      </c>
      <c r="D10" s="19">
        <f t="shared" si="1"/>
        <v>4</v>
      </c>
      <c r="E10" s="18">
        <f t="shared" si="2"/>
        <v>4</v>
      </c>
      <c r="F10" s="18">
        <f t="shared" si="3"/>
        <v>4</v>
      </c>
      <c r="G10" s="18">
        <f t="shared" si="4"/>
        <v>4</v>
      </c>
      <c r="H10" s="18">
        <f t="shared" si="5"/>
        <v>4</v>
      </c>
      <c r="I10" s="18">
        <f t="shared" si="6"/>
        <v>4</v>
      </c>
      <c r="J10" s="18">
        <f t="shared" si="7"/>
        <v>4</v>
      </c>
      <c r="K10" s="18">
        <f t="shared" si="8"/>
        <v>4</v>
      </c>
      <c r="L10" s="18">
        <f t="shared" si="9"/>
        <v>4</v>
      </c>
      <c r="N10" s="18">
        <v>4</v>
      </c>
    </row>
    <row r="11" spans="1:17" ht="18.75" x14ac:dyDescent="0.3">
      <c r="A11" s="3" t="s">
        <v>8</v>
      </c>
      <c r="B11" s="1"/>
      <c r="C11" s="1"/>
      <c r="D11" s="18"/>
      <c r="J11" s="11"/>
      <c r="K11" s="11"/>
      <c r="L11" s="11"/>
      <c r="N11" s="18"/>
    </row>
    <row r="12" spans="1:17" x14ac:dyDescent="0.25">
      <c r="A12" s="2" t="s">
        <v>10</v>
      </c>
      <c r="B12" s="2" t="s">
        <v>2</v>
      </c>
      <c r="C12" s="18">
        <f t="shared" ref="C12:C22" si="10">N12</f>
        <v>2</v>
      </c>
      <c r="D12" s="18">
        <f t="shared" ref="D12:D22" si="11">N12</f>
        <v>2</v>
      </c>
      <c r="E12" s="18">
        <f t="shared" ref="E12:E22" si="12">N12</f>
        <v>2</v>
      </c>
      <c r="F12" s="18">
        <f t="shared" ref="F12:F22" si="13">N12</f>
        <v>2</v>
      </c>
      <c r="G12" s="18">
        <f t="shared" ref="G12:G22" si="14">N12</f>
        <v>2</v>
      </c>
      <c r="H12" s="18">
        <f t="shared" ref="H12:H22" si="15">N12</f>
        <v>2</v>
      </c>
      <c r="I12" s="18">
        <f t="shared" ref="I12:I22" si="16">N12</f>
        <v>2</v>
      </c>
      <c r="J12" s="18">
        <f t="shared" ref="J12:J22" si="17">N12</f>
        <v>2</v>
      </c>
      <c r="K12" s="18">
        <f t="shared" ref="K12:K22" si="18">N12</f>
        <v>2</v>
      </c>
      <c r="L12" s="18">
        <f t="shared" ref="L12:L22" si="19">N12</f>
        <v>2</v>
      </c>
      <c r="N12" s="18">
        <v>2</v>
      </c>
    </row>
    <row r="13" spans="1:17" x14ac:dyDescent="0.25">
      <c r="A13" s="2" t="s">
        <v>9</v>
      </c>
      <c r="B13" s="2" t="s">
        <v>2</v>
      </c>
      <c r="C13" s="18">
        <f t="shared" si="10"/>
        <v>1</v>
      </c>
      <c r="D13" s="18">
        <f t="shared" si="11"/>
        <v>1</v>
      </c>
      <c r="E13" s="18">
        <f t="shared" si="12"/>
        <v>1</v>
      </c>
      <c r="F13" s="18">
        <f t="shared" si="13"/>
        <v>1</v>
      </c>
      <c r="G13" s="18">
        <f t="shared" si="14"/>
        <v>1</v>
      </c>
      <c r="H13" s="18">
        <f t="shared" si="15"/>
        <v>1</v>
      </c>
      <c r="I13" s="18">
        <f t="shared" si="16"/>
        <v>1</v>
      </c>
      <c r="J13" s="18">
        <f t="shared" si="17"/>
        <v>1</v>
      </c>
      <c r="K13" s="18">
        <f t="shared" si="18"/>
        <v>1</v>
      </c>
      <c r="L13" s="18">
        <f t="shared" si="19"/>
        <v>1</v>
      </c>
      <c r="N13" s="18">
        <v>1</v>
      </c>
    </row>
    <row r="14" spans="1:17" x14ac:dyDescent="0.25">
      <c r="A14" s="2" t="s">
        <v>11</v>
      </c>
      <c r="B14" s="2" t="s">
        <v>72</v>
      </c>
      <c r="C14" s="18">
        <f t="shared" si="10"/>
        <v>0</v>
      </c>
      <c r="D14" s="18">
        <f t="shared" si="11"/>
        <v>0</v>
      </c>
      <c r="E14" s="18">
        <f t="shared" si="12"/>
        <v>0</v>
      </c>
      <c r="F14" s="18">
        <f t="shared" si="13"/>
        <v>0</v>
      </c>
      <c r="G14" s="18">
        <f t="shared" si="14"/>
        <v>0</v>
      </c>
      <c r="H14" s="18">
        <f t="shared" si="15"/>
        <v>0</v>
      </c>
      <c r="I14" s="18">
        <f t="shared" si="16"/>
        <v>0</v>
      </c>
      <c r="J14" s="18">
        <f t="shared" si="17"/>
        <v>0</v>
      </c>
      <c r="K14" s="18">
        <f t="shared" si="18"/>
        <v>0</v>
      </c>
      <c r="L14" s="18">
        <f t="shared" si="19"/>
        <v>0</v>
      </c>
      <c r="N14" s="18">
        <v>0</v>
      </c>
    </row>
    <row r="15" spans="1:17" x14ac:dyDescent="0.25">
      <c r="A15" s="2" t="s">
        <v>12</v>
      </c>
      <c r="B15" s="2" t="s">
        <v>23</v>
      </c>
      <c r="C15" s="18">
        <f t="shared" si="10"/>
        <v>2</v>
      </c>
      <c r="D15" s="18">
        <f t="shared" si="11"/>
        <v>2</v>
      </c>
      <c r="E15" s="18">
        <f t="shared" si="12"/>
        <v>2</v>
      </c>
      <c r="F15" s="18">
        <f t="shared" si="13"/>
        <v>2</v>
      </c>
      <c r="G15" s="18">
        <f t="shared" si="14"/>
        <v>2</v>
      </c>
      <c r="H15" s="18">
        <f t="shared" si="15"/>
        <v>2</v>
      </c>
      <c r="I15" s="18">
        <f t="shared" si="16"/>
        <v>2</v>
      </c>
      <c r="J15" s="18">
        <f t="shared" si="17"/>
        <v>2</v>
      </c>
      <c r="K15" s="18">
        <f t="shared" si="18"/>
        <v>2</v>
      </c>
      <c r="L15" s="18">
        <f t="shared" si="19"/>
        <v>2</v>
      </c>
      <c r="N15" s="18">
        <v>2</v>
      </c>
    </row>
    <row r="16" spans="1:17" x14ac:dyDescent="0.25">
      <c r="A16" s="2" t="s">
        <v>13</v>
      </c>
      <c r="B16" s="2" t="s">
        <v>23</v>
      </c>
      <c r="C16" s="18">
        <f t="shared" si="10"/>
        <v>3</v>
      </c>
      <c r="D16" s="18">
        <f t="shared" si="11"/>
        <v>3</v>
      </c>
      <c r="E16" s="18">
        <f t="shared" si="12"/>
        <v>3</v>
      </c>
      <c r="F16" s="18">
        <f t="shared" si="13"/>
        <v>3</v>
      </c>
      <c r="G16" s="18">
        <f t="shared" si="14"/>
        <v>3</v>
      </c>
      <c r="H16" s="18">
        <f t="shared" si="15"/>
        <v>3</v>
      </c>
      <c r="I16" s="18">
        <f t="shared" si="16"/>
        <v>3</v>
      </c>
      <c r="J16" s="18">
        <f t="shared" si="17"/>
        <v>3</v>
      </c>
      <c r="K16" s="18">
        <f t="shared" si="18"/>
        <v>3</v>
      </c>
      <c r="L16" s="18">
        <f t="shared" si="19"/>
        <v>3</v>
      </c>
      <c r="N16" s="18">
        <v>3</v>
      </c>
    </row>
    <row r="17" spans="1:14" x14ac:dyDescent="0.25">
      <c r="A17" s="2" t="s">
        <v>14</v>
      </c>
      <c r="B17" s="2" t="s">
        <v>23</v>
      </c>
      <c r="C17" s="18">
        <f t="shared" si="10"/>
        <v>4</v>
      </c>
      <c r="D17" s="18">
        <f t="shared" si="11"/>
        <v>4</v>
      </c>
      <c r="E17" s="18">
        <f t="shared" si="12"/>
        <v>4</v>
      </c>
      <c r="F17" s="18">
        <f t="shared" si="13"/>
        <v>4</v>
      </c>
      <c r="G17" s="18">
        <f t="shared" si="14"/>
        <v>4</v>
      </c>
      <c r="H17" s="18">
        <f t="shared" si="15"/>
        <v>4</v>
      </c>
      <c r="I17" s="18">
        <f t="shared" si="16"/>
        <v>4</v>
      </c>
      <c r="J17" s="18">
        <f t="shared" si="17"/>
        <v>4</v>
      </c>
      <c r="K17" s="18">
        <f t="shared" si="18"/>
        <v>4</v>
      </c>
      <c r="L17" s="18">
        <f t="shared" si="19"/>
        <v>4</v>
      </c>
      <c r="N17" s="18">
        <v>4</v>
      </c>
    </row>
    <row r="18" spans="1:14" x14ac:dyDescent="0.25">
      <c r="A18" s="2" t="s">
        <v>15</v>
      </c>
      <c r="B18" s="2" t="s">
        <v>6</v>
      </c>
      <c r="C18" s="19">
        <f t="shared" si="10"/>
        <v>1</v>
      </c>
      <c r="D18" s="19">
        <f t="shared" si="11"/>
        <v>1</v>
      </c>
      <c r="E18" s="18">
        <f t="shared" si="12"/>
        <v>1</v>
      </c>
      <c r="F18" s="18">
        <f t="shared" si="13"/>
        <v>1</v>
      </c>
      <c r="G18" s="18">
        <f t="shared" si="14"/>
        <v>1</v>
      </c>
      <c r="H18" s="18">
        <f t="shared" si="15"/>
        <v>1</v>
      </c>
      <c r="I18" s="18">
        <f t="shared" si="16"/>
        <v>1</v>
      </c>
      <c r="J18" s="18">
        <f t="shared" si="17"/>
        <v>1</v>
      </c>
      <c r="K18" s="18">
        <f t="shared" si="18"/>
        <v>1</v>
      </c>
      <c r="L18" s="18">
        <f t="shared" si="19"/>
        <v>1</v>
      </c>
      <c r="N18" s="18">
        <v>1</v>
      </c>
    </row>
    <row r="19" spans="1:14" x14ac:dyDescent="0.25">
      <c r="A19" s="2" t="s">
        <v>16</v>
      </c>
      <c r="B19" s="2" t="s">
        <v>6</v>
      </c>
      <c r="C19" s="19">
        <f t="shared" si="10"/>
        <v>0</v>
      </c>
      <c r="D19" s="19">
        <f t="shared" si="11"/>
        <v>0</v>
      </c>
      <c r="E19" s="18">
        <f t="shared" si="12"/>
        <v>0</v>
      </c>
      <c r="F19" s="18">
        <f t="shared" si="13"/>
        <v>0</v>
      </c>
      <c r="G19" s="18">
        <f t="shared" si="14"/>
        <v>0</v>
      </c>
      <c r="H19" s="18">
        <f t="shared" si="15"/>
        <v>0</v>
      </c>
      <c r="I19" s="18">
        <f t="shared" si="16"/>
        <v>0</v>
      </c>
      <c r="J19" s="18">
        <f t="shared" si="17"/>
        <v>0</v>
      </c>
      <c r="K19" s="18">
        <f t="shared" si="18"/>
        <v>0</v>
      </c>
      <c r="L19" s="18">
        <f t="shared" si="19"/>
        <v>0</v>
      </c>
      <c r="N19" s="18">
        <v>0</v>
      </c>
    </row>
    <row r="20" spans="1:14" x14ac:dyDescent="0.25">
      <c r="A20" s="2" t="s">
        <v>17</v>
      </c>
      <c r="B20" s="2" t="s">
        <v>6</v>
      </c>
      <c r="C20" s="19">
        <f t="shared" si="10"/>
        <v>1</v>
      </c>
      <c r="D20" s="19">
        <f t="shared" si="11"/>
        <v>1</v>
      </c>
      <c r="E20" s="19">
        <f t="shared" si="12"/>
        <v>1</v>
      </c>
      <c r="F20" s="18">
        <f t="shared" si="13"/>
        <v>1</v>
      </c>
      <c r="G20" s="18">
        <f t="shared" si="14"/>
        <v>1</v>
      </c>
      <c r="H20" s="18">
        <f t="shared" si="15"/>
        <v>1</v>
      </c>
      <c r="I20" s="18">
        <f t="shared" si="16"/>
        <v>1</v>
      </c>
      <c r="J20" s="18">
        <f t="shared" si="17"/>
        <v>1</v>
      </c>
      <c r="K20" s="18">
        <f t="shared" si="18"/>
        <v>1</v>
      </c>
      <c r="L20" s="18">
        <f t="shared" si="19"/>
        <v>1</v>
      </c>
      <c r="N20" s="18">
        <v>1</v>
      </c>
    </row>
    <row r="21" spans="1:14" x14ac:dyDescent="0.25">
      <c r="A21" s="2" t="s">
        <v>18</v>
      </c>
      <c r="B21" s="2" t="s">
        <v>24</v>
      </c>
      <c r="C21" s="19">
        <f t="shared" si="10"/>
        <v>0</v>
      </c>
      <c r="D21" s="19">
        <f t="shared" si="11"/>
        <v>0</v>
      </c>
      <c r="E21" s="19">
        <f t="shared" si="12"/>
        <v>0</v>
      </c>
      <c r="F21" s="18">
        <f t="shared" si="13"/>
        <v>0</v>
      </c>
      <c r="G21" s="18">
        <f t="shared" si="14"/>
        <v>0</v>
      </c>
      <c r="H21" s="18">
        <f t="shared" si="15"/>
        <v>0</v>
      </c>
      <c r="I21" s="18">
        <f t="shared" si="16"/>
        <v>0</v>
      </c>
      <c r="J21" s="18">
        <f t="shared" si="17"/>
        <v>0</v>
      </c>
      <c r="K21" s="18">
        <f t="shared" si="18"/>
        <v>0</v>
      </c>
      <c r="L21" s="18">
        <f t="shared" si="19"/>
        <v>0</v>
      </c>
      <c r="N21" s="18">
        <v>0</v>
      </c>
    </row>
    <row r="22" spans="1:14" x14ac:dyDescent="0.25">
      <c r="A22" s="2" t="s">
        <v>84</v>
      </c>
      <c r="B22" s="2" t="s">
        <v>23</v>
      </c>
      <c r="C22" s="19">
        <f t="shared" si="10"/>
        <v>2</v>
      </c>
      <c r="D22" s="19">
        <f t="shared" si="11"/>
        <v>2</v>
      </c>
      <c r="E22" s="19">
        <f t="shared" si="12"/>
        <v>2</v>
      </c>
      <c r="F22" s="18">
        <f t="shared" si="13"/>
        <v>2</v>
      </c>
      <c r="G22" s="18">
        <f t="shared" si="14"/>
        <v>2</v>
      </c>
      <c r="H22" s="18">
        <f t="shared" si="15"/>
        <v>2</v>
      </c>
      <c r="I22" s="18">
        <f t="shared" si="16"/>
        <v>2</v>
      </c>
      <c r="J22" s="18">
        <f t="shared" si="17"/>
        <v>2</v>
      </c>
      <c r="K22" s="18">
        <f t="shared" si="18"/>
        <v>2</v>
      </c>
      <c r="L22" s="18">
        <f t="shared" si="19"/>
        <v>2</v>
      </c>
      <c r="N22" s="18">
        <v>2</v>
      </c>
    </row>
    <row r="23" spans="1:14" ht="18.75" x14ac:dyDescent="0.3">
      <c r="A23" s="3" t="s">
        <v>19</v>
      </c>
      <c r="B23" s="1"/>
      <c r="C23" s="1"/>
      <c r="J23" s="11"/>
      <c r="K23" s="11"/>
      <c r="L23" s="11"/>
      <c r="N23" t="s">
        <v>142</v>
      </c>
    </row>
    <row r="24" spans="1:14" x14ac:dyDescent="0.25">
      <c r="A24" s="2" t="s">
        <v>11</v>
      </c>
      <c r="B24" s="2" t="s">
        <v>23</v>
      </c>
      <c r="C24" s="19">
        <f>N24</f>
        <v>4</v>
      </c>
      <c r="D24" s="19">
        <f>N24</f>
        <v>4</v>
      </c>
      <c r="E24" s="18">
        <f>N24</f>
        <v>4</v>
      </c>
      <c r="F24" s="18">
        <f>N24</f>
        <v>4</v>
      </c>
      <c r="G24" s="18">
        <f>N24</f>
        <v>4</v>
      </c>
      <c r="H24" s="18">
        <f>N24</f>
        <v>4</v>
      </c>
      <c r="I24" s="18">
        <f>N24</f>
        <v>4</v>
      </c>
      <c r="J24" s="18">
        <f>N24</f>
        <v>4</v>
      </c>
      <c r="K24" s="18">
        <f>N24</f>
        <v>4</v>
      </c>
      <c r="L24" s="18">
        <f>N24</f>
        <v>4</v>
      </c>
      <c r="N24" s="18">
        <v>4</v>
      </c>
    </row>
    <row r="25" spans="1:14" x14ac:dyDescent="0.25">
      <c r="A25" s="2" t="s">
        <v>20</v>
      </c>
      <c r="B25" s="2" t="s">
        <v>6</v>
      </c>
      <c r="C25" s="19">
        <f>N25</f>
        <v>1</v>
      </c>
      <c r="D25" s="19">
        <f>N25</f>
        <v>1</v>
      </c>
      <c r="E25" s="19">
        <f>N25</f>
        <v>1</v>
      </c>
      <c r="F25" s="18">
        <f>N25</f>
        <v>1</v>
      </c>
      <c r="G25" s="18">
        <f>N25</f>
        <v>1</v>
      </c>
      <c r="H25" s="18">
        <f>N25</f>
        <v>1</v>
      </c>
      <c r="I25" s="18">
        <f>N25</f>
        <v>1</v>
      </c>
      <c r="J25" s="18">
        <f>N25</f>
        <v>1</v>
      </c>
      <c r="K25" s="18">
        <f>N25</f>
        <v>1</v>
      </c>
      <c r="L25" s="18">
        <f>N25</f>
        <v>1</v>
      </c>
      <c r="N25" s="18">
        <v>1</v>
      </c>
    </row>
    <row r="26" spans="1:14" ht="18.75" x14ac:dyDescent="0.3">
      <c r="A26" s="3" t="s">
        <v>25</v>
      </c>
      <c r="J26" s="11"/>
      <c r="K26" s="11"/>
      <c r="L26" s="11"/>
    </row>
    <row r="27" spans="1:14" x14ac:dyDescent="0.25">
      <c r="A27" s="2" t="s">
        <v>26</v>
      </c>
      <c r="B27" s="2" t="s">
        <v>14</v>
      </c>
      <c r="C27" s="18">
        <f t="shared" ref="C27:C34" si="20">N27</f>
        <v>5</v>
      </c>
      <c r="D27" s="18">
        <f t="shared" ref="D27:D34" si="21">N27</f>
        <v>5</v>
      </c>
      <c r="E27" s="18">
        <f t="shared" ref="E27:E34" si="22">N27</f>
        <v>5</v>
      </c>
      <c r="F27" s="18">
        <f t="shared" ref="F27:F34" si="23">N27</f>
        <v>5</v>
      </c>
      <c r="G27" s="18">
        <f t="shared" ref="G27:G34" si="24">N27</f>
        <v>5</v>
      </c>
      <c r="H27" s="18">
        <f t="shared" ref="H27:H34" si="25">N27</f>
        <v>5</v>
      </c>
      <c r="I27" s="18">
        <f t="shared" ref="I27:I34" si="26">N27</f>
        <v>5</v>
      </c>
      <c r="J27" s="18">
        <f t="shared" ref="J27:J34" si="27">N27</f>
        <v>5</v>
      </c>
      <c r="K27" s="18">
        <f t="shared" ref="K27:K34" si="28">N27</f>
        <v>5</v>
      </c>
      <c r="L27" s="18">
        <f t="shared" ref="L27:L34" si="29">N27</f>
        <v>5</v>
      </c>
      <c r="N27" s="18">
        <v>5</v>
      </c>
    </row>
    <row r="28" spans="1:14" x14ac:dyDescent="0.25">
      <c r="A28" s="2" t="s">
        <v>27</v>
      </c>
      <c r="B28" s="2" t="s">
        <v>13</v>
      </c>
      <c r="C28" s="18">
        <f t="shared" si="20"/>
        <v>5</v>
      </c>
      <c r="D28" s="18">
        <f t="shared" si="21"/>
        <v>5</v>
      </c>
      <c r="E28" s="18">
        <f t="shared" si="22"/>
        <v>5</v>
      </c>
      <c r="F28" s="18">
        <f t="shared" si="23"/>
        <v>5</v>
      </c>
      <c r="G28" s="18">
        <f t="shared" si="24"/>
        <v>5</v>
      </c>
      <c r="H28" s="18">
        <f t="shared" si="25"/>
        <v>5</v>
      </c>
      <c r="I28" s="18">
        <f t="shared" si="26"/>
        <v>5</v>
      </c>
      <c r="J28" s="18">
        <f t="shared" si="27"/>
        <v>5</v>
      </c>
      <c r="K28" s="18">
        <f t="shared" si="28"/>
        <v>5</v>
      </c>
      <c r="L28" s="18">
        <f t="shared" si="29"/>
        <v>5</v>
      </c>
      <c r="N28" s="18">
        <v>5</v>
      </c>
    </row>
    <row r="29" spans="1:14" x14ac:dyDescent="0.25">
      <c r="A29" s="2" t="s">
        <v>28</v>
      </c>
      <c r="B29" s="2" t="s">
        <v>12</v>
      </c>
      <c r="C29" s="18">
        <f t="shared" si="20"/>
        <v>6</v>
      </c>
      <c r="D29" s="18">
        <f t="shared" si="21"/>
        <v>6</v>
      </c>
      <c r="E29" s="18">
        <f t="shared" si="22"/>
        <v>6</v>
      </c>
      <c r="F29" s="18">
        <f t="shared" si="23"/>
        <v>6</v>
      </c>
      <c r="G29" s="18">
        <f t="shared" si="24"/>
        <v>6</v>
      </c>
      <c r="H29" s="18">
        <f t="shared" si="25"/>
        <v>6</v>
      </c>
      <c r="I29" s="18">
        <f t="shared" si="26"/>
        <v>6</v>
      </c>
      <c r="J29" s="18">
        <f t="shared" si="27"/>
        <v>6</v>
      </c>
      <c r="K29" s="18">
        <f t="shared" si="28"/>
        <v>6</v>
      </c>
      <c r="L29" s="18">
        <f t="shared" si="29"/>
        <v>6</v>
      </c>
      <c r="N29" s="18">
        <v>6</v>
      </c>
    </row>
    <row r="30" spans="1:14" x14ac:dyDescent="0.25">
      <c r="A30" s="2" t="s">
        <v>29</v>
      </c>
      <c r="B30" s="2" t="s">
        <v>12</v>
      </c>
      <c r="C30" s="19">
        <f t="shared" si="20"/>
        <v>0</v>
      </c>
      <c r="D30" s="19">
        <f t="shared" si="21"/>
        <v>0</v>
      </c>
      <c r="E30" s="19">
        <f t="shared" si="22"/>
        <v>0</v>
      </c>
      <c r="F30" s="18">
        <f t="shared" si="23"/>
        <v>0</v>
      </c>
      <c r="G30" s="18">
        <f t="shared" si="24"/>
        <v>0</v>
      </c>
      <c r="H30" s="18">
        <f t="shared" si="25"/>
        <v>0</v>
      </c>
      <c r="I30" s="18">
        <f t="shared" si="26"/>
        <v>0</v>
      </c>
      <c r="J30" s="18">
        <f t="shared" si="27"/>
        <v>0</v>
      </c>
      <c r="K30" s="18">
        <f t="shared" si="28"/>
        <v>0</v>
      </c>
      <c r="L30" s="18">
        <f t="shared" si="29"/>
        <v>0</v>
      </c>
      <c r="N30" s="18">
        <v>0</v>
      </c>
    </row>
    <row r="31" spans="1:14" x14ac:dyDescent="0.25">
      <c r="A31" s="2" t="s">
        <v>30</v>
      </c>
      <c r="B31" s="2" t="s">
        <v>12</v>
      </c>
      <c r="C31" s="19">
        <f t="shared" si="20"/>
        <v>4</v>
      </c>
      <c r="D31" s="19">
        <f t="shared" si="21"/>
        <v>4</v>
      </c>
      <c r="E31" s="19">
        <f t="shared" si="22"/>
        <v>4</v>
      </c>
      <c r="F31" s="18">
        <f t="shared" si="23"/>
        <v>4</v>
      </c>
      <c r="G31" s="18">
        <f t="shared" si="24"/>
        <v>4</v>
      </c>
      <c r="H31" s="18">
        <f t="shared" si="25"/>
        <v>4</v>
      </c>
      <c r="I31" s="18">
        <f t="shared" si="26"/>
        <v>4</v>
      </c>
      <c r="J31" s="18">
        <f t="shared" si="27"/>
        <v>4</v>
      </c>
      <c r="K31" s="18">
        <f t="shared" si="28"/>
        <v>4</v>
      </c>
      <c r="L31" s="18">
        <f t="shared" si="29"/>
        <v>4</v>
      </c>
      <c r="N31" s="18">
        <v>4</v>
      </c>
    </row>
    <row r="32" spans="1:14" x14ac:dyDescent="0.25">
      <c r="A32" s="2" t="s">
        <v>31</v>
      </c>
      <c r="B32" s="2" t="s">
        <v>11</v>
      </c>
      <c r="C32" s="19">
        <f t="shared" si="20"/>
        <v>0</v>
      </c>
      <c r="D32" s="19">
        <f t="shared" si="21"/>
        <v>0</v>
      </c>
      <c r="E32" s="19">
        <f t="shared" si="22"/>
        <v>0</v>
      </c>
      <c r="F32" s="18">
        <f t="shared" si="23"/>
        <v>0</v>
      </c>
      <c r="G32" s="18">
        <f t="shared" si="24"/>
        <v>0</v>
      </c>
      <c r="H32" s="18">
        <f t="shared" si="25"/>
        <v>0</v>
      </c>
      <c r="I32" s="18">
        <f t="shared" si="26"/>
        <v>0</v>
      </c>
      <c r="J32" s="18">
        <f t="shared" si="27"/>
        <v>0</v>
      </c>
      <c r="K32" s="18">
        <f t="shared" si="28"/>
        <v>0</v>
      </c>
      <c r="L32" s="18">
        <f t="shared" si="29"/>
        <v>0</v>
      </c>
      <c r="N32" s="18">
        <v>0</v>
      </c>
    </row>
    <row r="33" spans="1:14" x14ac:dyDescent="0.25">
      <c r="A33" s="2" t="s">
        <v>32</v>
      </c>
      <c r="B33" s="2" t="s">
        <v>11</v>
      </c>
      <c r="C33" s="19">
        <f t="shared" si="20"/>
        <v>3</v>
      </c>
      <c r="D33" s="19">
        <f t="shared" si="21"/>
        <v>3</v>
      </c>
      <c r="E33" s="19">
        <f t="shared" si="22"/>
        <v>3</v>
      </c>
      <c r="F33" s="18">
        <f t="shared" si="23"/>
        <v>3</v>
      </c>
      <c r="G33" s="18">
        <f t="shared" si="24"/>
        <v>3</v>
      </c>
      <c r="H33" s="18">
        <f t="shared" si="25"/>
        <v>3</v>
      </c>
      <c r="I33" s="18">
        <f t="shared" si="26"/>
        <v>3</v>
      </c>
      <c r="J33" s="18">
        <f t="shared" si="27"/>
        <v>3</v>
      </c>
      <c r="K33" s="18">
        <f t="shared" si="28"/>
        <v>3</v>
      </c>
      <c r="L33" s="18">
        <f t="shared" si="29"/>
        <v>3</v>
      </c>
      <c r="N33" s="18">
        <v>3</v>
      </c>
    </row>
    <row r="34" spans="1:14" x14ac:dyDescent="0.25">
      <c r="A34" s="2" t="s">
        <v>33</v>
      </c>
      <c r="B34" s="2" t="s">
        <v>12</v>
      </c>
      <c r="C34" s="19">
        <f t="shared" si="20"/>
        <v>5</v>
      </c>
      <c r="D34" s="19">
        <f t="shared" si="21"/>
        <v>5</v>
      </c>
      <c r="E34" s="19">
        <f t="shared" si="22"/>
        <v>5</v>
      </c>
      <c r="F34" s="18">
        <f t="shared" si="23"/>
        <v>5</v>
      </c>
      <c r="G34" s="18">
        <f t="shared" si="24"/>
        <v>5</v>
      </c>
      <c r="H34" s="18">
        <f t="shared" si="25"/>
        <v>5</v>
      </c>
      <c r="I34" s="18">
        <f t="shared" si="26"/>
        <v>5</v>
      </c>
      <c r="J34" s="18">
        <f t="shared" si="27"/>
        <v>5</v>
      </c>
      <c r="K34" s="18">
        <f t="shared" si="28"/>
        <v>5</v>
      </c>
      <c r="L34" s="18">
        <f t="shared" si="29"/>
        <v>5</v>
      </c>
      <c r="N34" s="18">
        <v>5</v>
      </c>
    </row>
    <row r="35" spans="1:14" ht="18.75" x14ac:dyDescent="0.3">
      <c r="A35" s="3" t="s">
        <v>34</v>
      </c>
      <c r="J35" s="10"/>
      <c r="K35" s="11"/>
      <c r="L35" s="11"/>
    </row>
    <row r="36" spans="1:14" x14ac:dyDescent="0.25">
      <c r="A36" s="2" t="s">
        <v>35</v>
      </c>
      <c r="B36" s="2" t="s">
        <v>36</v>
      </c>
      <c r="C36" s="18">
        <f t="shared" ref="C36:C44" si="30">N36</f>
        <v>16.7</v>
      </c>
      <c r="D36" s="18">
        <f t="shared" ref="D36:D44" si="31">N36</f>
        <v>16.7</v>
      </c>
      <c r="E36" s="18">
        <f t="shared" ref="E36:E44" si="32">N36</f>
        <v>16.7</v>
      </c>
      <c r="F36" s="18">
        <f t="shared" ref="F36:F44" si="33">N36</f>
        <v>16.7</v>
      </c>
      <c r="G36" s="18">
        <f t="shared" ref="G36:G44" si="34">N36</f>
        <v>16.7</v>
      </c>
      <c r="H36" s="18">
        <f t="shared" ref="H36:H44" si="35">N36</f>
        <v>16.7</v>
      </c>
      <c r="I36" s="18">
        <f t="shared" ref="I36:I44" si="36">N36</f>
        <v>16.7</v>
      </c>
      <c r="J36" s="18">
        <f t="shared" ref="J36:J44" si="37">N36</f>
        <v>16.7</v>
      </c>
      <c r="K36" s="18">
        <f t="shared" ref="K36:K44" si="38">N36</f>
        <v>16.7</v>
      </c>
      <c r="L36" s="18">
        <f t="shared" ref="L36:L44" si="39">N36</f>
        <v>16.7</v>
      </c>
      <c r="N36" s="18">
        <v>16.7</v>
      </c>
    </row>
    <row r="37" spans="1:14" x14ac:dyDescent="0.25">
      <c r="A37" s="2" t="s">
        <v>37</v>
      </c>
      <c r="B37" s="2" t="s">
        <v>39</v>
      </c>
      <c r="C37" s="25">
        <f t="shared" si="30"/>
        <v>0.27779999999999999</v>
      </c>
      <c r="D37" s="25">
        <f t="shared" si="31"/>
        <v>0.27779999999999999</v>
      </c>
      <c r="E37" s="25">
        <f t="shared" si="32"/>
        <v>0.27779999999999999</v>
      </c>
      <c r="F37" s="25">
        <f t="shared" si="33"/>
        <v>0.27779999999999999</v>
      </c>
      <c r="G37" s="25">
        <f t="shared" si="34"/>
        <v>0.27779999999999999</v>
      </c>
      <c r="H37" s="25">
        <f t="shared" si="35"/>
        <v>0.27779999999999999</v>
      </c>
      <c r="I37" s="25">
        <f t="shared" si="36"/>
        <v>0.27779999999999999</v>
      </c>
      <c r="J37" s="25">
        <f t="shared" si="37"/>
        <v>0.27779999999999999</v>
      </c>
      <c r="K37" s="25">
        <f t="shared" si="38"/>
        <v>0.27779999999999999</v>
      </c>
      <c r="L37" s="22">
        <f t="shared" si="39"/>
        <v>0.27779999999999999</v>
      </c>
      <c r="N37" s="22">
        <v>0.27779999999999999</v>
      </c>
    </row>
    <row r="38" spans="1:14" x14ac:dyDescent="0.25">
      <c r="A38" s="2" t="s">
        <v>38</v>
      </c>
      <c r="B38" s="2" t="s">
        <v>39</v>
      </c>
      <c r="C38" s="25">
        <f t="shared" si="30"/>
        <v>0.57140000000000002</v>
      </c>
      <c r="D38" s="25">
        <f t="shared" si="31"/>
        <v>0.57140000000000002</v>
      </c>
      <c r="E38" s="25">
        <f t="shared" si="32"/>
        <v>0.57140000000000002</v>
      </c>
      <c r="F38" s="25">
        <f t="shared" si="33"/>
        <v>0.57140000000000002</v>
      </c>
      <c r="G38" s="25">
        <f t="shared" si="34"/>
        <v>0.57140000000000002</v>
      </c>
      <c r="H38" s="25">
        <f t="shared" si="35"/>
        <v>0.57140000000000002</v>
      </c>
      <c r="I38" s="25">
        <f t="shared" si="36"/>
        <v>0.57140000000000002</v>
      </c>
      <c r="J38" s="25">
        <f t="shared" si="37"/>
        <v>0.57140000000000002</v>
      </c>
      <c r="K38" s="25">
        <f t="shared" si="38"/>
        <v>0.57140000000000002</v>
      </c>
      <c r="L38" s="22">
        <f t="shared" si="39"/>
        <v>0.57140000000000002</v>
      </c>
      <c r="N38" s="22">
        <v>0.57140000000000002</v>
      </c>
    </row>
    <row r="39" spans="1:14" x14ac:dyDescent="0.25">
      <c r="A39" s="2" t="s">
        <v>40</v>
      </c>
      <c r="B39" s="2" t="s">
        <v>39</v>
      </c>
      <c r="C39" s="18">
        <f t="shared" si="30"/>
        <v>34.799999999999997</v>
      </c>
      <c r="D39" s="18">
        <f t="shared" si="31"/>
        <v>34.799999999999997</v>
      </c>
      <c r="E39" s="18">
        <f t="shared" si="32"/>
        <v>34.799999999999997</v>
      </c>
      <c r="F39" s="18">
        <f t="shared" si="33"/>
        <v>34.799999999999997</v>
      </c>
      <c r="G39" s="18">
        <f t="shared" si="34"/>
        <v>34.799999999999997</v>
      </c>
      <c r="H39" s="18">
        <f t="shared" si="35"/>
        <v>34.799999999999997</v>
      </c>
      <c r="I39" s="18">
        <f t="shared" si="36"/>
        <v>34.799999999999997</v>
      </c>
      <c r="J39" s="18">
        <f t="shared" si="37"/>
        <v>34.799999999999997</v>
      </c>
      <c r="K39" s="18">
        <f t="shared" si="38"/>
        <v>34.799999999999997</v>
      </c>
      <c r="L39" s="18">
        <f t="shared" si="39"/>
        <v>34.799999999999997</v>
      </c>
      <c r="N39" s="18">
        <v>34.799999999999997</v>
      </c>
    </row>
    <row r="40" spans="1:14" x14ac:dyDescent="0.25">
      <c r="A40" s="2" t="s">
        <v>41</v>
      </c>
      <c r="B40" s="2" t="s">
        <v>39</v>
      </c>
      <c r="C40" s="26">
        <f t="shared" si="30"/>
        <v>0</v>
      </c>
      <c r="D40" s="26">
        <f t="shared" si="31"/>
        <v>0</v>
      </c>
      <c r="E40" s="26">
        <f t="shared" si="32"/>
        <v>0</v>
      </c>
      <c r="F40" s="26">
        <f t="shared" si="33"/>
        <v>0</v>
      </c>
      <c r="G40" s="26">
        <f t="shared" si="34"/>
        <v>0</v>
      </c>
      <c r="H40" s="26">
        <f t="shared" si="35"/>
        <v>0</v>
      </c>
      <c r="I40" s="26">
        <f t="shared" si="36"/>
        <v>0</v>
      </c>
      <c r="J40" s="26">
        <f t="shared" si="37"/>
        <v>0</v>
      </c>
      <c r="K40" s="26">
        <f t="shared" si="38"/>
        <v>0</v>
      </c>
      <c r="L40" s="26">
        <f t="shared" si="39"/>
        <v>0</v>
      </c>
      <c r="N40" s="26">
        <v>0</v>
      </c>
    </row>
    <row r="41" spans="1:14" x14ac:dyDescent="0.25">
      <c r="A41" s="2" t="s">
        <v>42</v>
      </c>
      <c r="B41" s="2" t="s">
        <v>39</v>
      </c>
      <c r="C41" s="25">
        <f t="shared" si="30"/>
        <v>0.16</v>
      </c>
      <c r="D41" s="25">
        <f t="shared" si="31"/>
        <v>0.16</v>
      </c>
      <c r="E41" s="25">
        <f t="shared" si="32"/>
        <v>0.16</v>
      </c>
      <c r="F41" s="25">
        <f t="shared" si="33"/>
        <v>0.16</v>
      </c>
      <c r="G41" s="25">
        <f t="shared" si="34"/>
        <v>0.16</v>
      </c>
      <c r="H41" s="25">
        <f t="shared" si="35"/>
        <v>0.16</v>
      </c>
      <c r="I41" s="25">
        <f t="shared" si="36"/>
        <v>0.16</v>
      </c>
      <c r="J41" s="25">
        <f t="shared" si="37"/>
        <v>0.16</v>
      </c>
      <c r="K41" s="25">
        <f t="shared" si="38"/>
        <v>0.16</v>
      </c>
      <c r="L41" s="22">
        <f t="shared" si="39"/>
        <v>0.16</v>
      </c>
      <c r="N41" s="22">
        <v>0.16</v>
      </c>
    </row>
    <row r="42" spans="1:14" x14ac:dyDescent="0.25">
      <c r="A42" s="2" t="s">
        <v>43</v>
      </c>
      <c r="B42" s="2" t="s">
        <v>45</v>
      </c>
      <c r="C42" s="27">
        <f t="shared" si="30"/>
        <v>0</v>
      </c>
      <c r="D42" s="25">
        <f t="shared" si="31"/>
        <v>0</v>
      </c>
      <c r="E42" s="25">
        <f t="shared" si="32"/>
        <v>0</v>
      </c>
      <c r="F42" s="25">
        <f t="shared" si="33"/>
        <v>0</v>
      </c>
      <c r="G42" s="25">
        <f t="shared" si="34"/>
        <v>0</v>
      </c>
      <c r="H42" s="25">
        <f t="shared" si="35"/>
        <v>0</v>
      </c>
      <c r="I42" s="25">
        <f t="shared" si="36"/>
        <v>0</v>
      </c>
      <c r="J42" s="25">
        <f t="shared" si="37"/>
        <v>0</v>
      </c>
      <c r="K42" s="25">
        <f t="shared" si="38"/>
        <v>0</v>
      </c>
      <c r="L42" s="22">
        <f t="shared" si="39"/>
        <v>0</v>
      </c>
      <c r="N42" s="22">
        <v>0</v>
      </c>
    </row>
    <row r="43" spans="1:14" x14ac:dyDescent="0.25">
      <c r="A43" s="2" t="s">
        <v>46</v>
      </c>
      <c r="B43" s="2" t="s">
        <v>47</v>
      </c>
      <c r="C43" s="28">
        <f t="shared" si="30"/>
        <v>50</v>
      </c>
      <c r="D43" s="18">
        <f t="shared" si="31"/>
        <v>50</v>
      </c>
      <c r="E43" s="18">
        <f t="shared" si="32"/>
        <v>50</v>
      </c>
      <c r="F43" s="18">
        <f t="shared" si="33"/>
        <v>50</v>
      </c>
      <c r="G43" s="18">
        <f t="shared" si="34"/>
        <v>50</v>
      </c>
      <c r="H43" s="18">
        <f t="shared" si="35"/>
        <v>50</v>
      </c>
      <c r="I43" s="18">
        <f t="shared" si="36"/>
        <v>50</v>
      </c>
      <c r="J43" s="18">
        <f t="shared" si="37"/>
        <v>50</v>
      </c>
      <c r="K43" s="18">
        <f t="shared" si="38"/>
        <v>50</v>
      </c>
      <c r="L43" s="18">
        <f t="shared" si="39"/>
        <v>50</v>
      </c>
      <c r="N43" s="18">
        <v>50</v>
      </c>
    </row>
    <row r="44" spans="1:14" x14ac:dyDescent="0.25">
      <c r="A44" s="2" t="s">
        <v>48</v>
      </c>
      <c r="B44" s="2" t="s">
        <v>47</v>
      </c>
      <c r="C44" s="28">
        <f t="shared" si="30"/>
        <v>28</v>
      </c>
      <c r="D44" s="18">
        <f t="shared" si="31"/>
        <v>28</v>
      </c>
      <c r="E44" s="18">
        <f t="shared" si="32"/>
        <v>28</v>
      </c>
      <c r="F44" s="18">
        <f t="shared" si="33"/>
        <v>28</v>
      </c>
      <c r="G44" s="18">
        <f t="shared" si="34"/>
        <v>28</v>
      </c>
      <c r="H44" s="18">
        <f t="shared" si="35"/>
        <v>28</v>
      </c>
      <c r="I44" s="18">
        <f t="shared" si="36"/>
        <v>28</v>
      </c>
      <c r="J44" s="18">
        <f t="shared" si="37"/>
        <v>28</v>
      </c>
      <c r="K44" s="18">
        <f t="shared" si="38"/>
        <v>28</v>
      </c>
      <c r="L44" s="18">
        <f t="shared" si="39"/>
        <v>28</v>
      </c>
      <c r="N44" s="18">
        <v>28</v>
      </c>
    </row>
    <row r="45" spans="1:14" ht="18.75" x14ac:dyDescent="0.3">
      <c r="A45" s="3" t="s">
        <v>49</v>
      </c>
      <c r="J45" s="10"/>
      <c r="K45" s="10"/>
      <c r="L45" s="10"/>
    </row>
    <row r="46" spans="1:14" x14ac:dyDescent="0.25">
      <c r="A46" s="2" t="s">
        <v>50</v>
      </c>
      <c r="B46" s="2"/>
      <c r="C46" s="19">
        <f>N46</f>
        <v>19</v>
      </c>
      <c r="D46" s="19">
        <f>N46</f>
        <v>19</v>
      </c>
      <c r="E46" s="19">
        <f>N46</f>
        <v>19</v>
      </c>
      <c r="F46" s="19">
        <f>N46</f>
        <v>19</v>
      </c>
      <c r="G46" s="19">
        <f>N46</f>
        <v>19</v>
      </c>
      <c r="H46" s="19">
        <f>N46</f>
        <v>19</v>
      </c>
      <c r="I46" s="19">
        <f>N46</f>
        <v>19</v>
      </c>
      <c r="J46" s="19">
        <f>N46</f>
        <v>19</v>
      </c>
      <c r="K46" s="19">
        <f>N46</f>
        <v>19</v>
      </c>
      <c r="L46" s="19">
        <f>N46</f>
        <v>19</v>
      </c>
      <c r="N46" s="19">
        <v>19</v>
      </c>
    </row>
    <row r="47" spans="1:14" x14ac:dyDescent="0.25">
      <c r="A47" s="2" t="s">
        <v>52</v>
      </c>
      <c r="B47" s="2"/>
      <c r="C47" s="19">
        <f>N47</f>
        <v>20</v>
      </c>
      <c r="D47" s="19">
        <f>N47</f>
        <v>20</v>
      </c>
      <c r="E47" s="19">
        <f>N47</f>
        <v>20</v>
      </c>
      <c r="F47" s="19">
        <f>N47</f>
        <v>20</v>
      </c>
      <c r="G47" s="19">
        <f>N47</f>
        <v>20</v>
      </c>
      <c r="H47" s="19">
        <f>N47</f>
        <v>20</v>
      </c>
      <c r="I47" s="19">
        <f>N47</f>
        <v>20</v>
      </c>
      <c r="J47" s="19">
        <f>N47</f>
        <v>20</v>
      </c>
      <c r="K47" s="19">
        <f>N47</f>
        <v>20</v>
      </c>
      <c r="L47" s="19">
        <f>N47</f>
        <v>20</v>
      </c>
      <c r="N47" s="19">
        <v>20</v>
      </c>
    </row>
    <row r="48" spans="1:14" x14ac:dyDescent="0.25">
      <c r="A48" s="2" t="s">
        <v>53</v>
      </c>
      <c r="B48" s="2"/>
      <c r="C48" s="19">
        <f>N48</f>
        <v>7</v>
      </c>
      <c r="D48" s="19">
        <f>N48</f>
        <v>7</v>
      </c>
      <c r="E48" s="19">
        <f>N48</f>
        <v>7</v>
      </c>
      <c r="F48" s="19">
        <f>N48</f>
        <v>7</v>
      </c>
      <c r="G48" s="19">
        <f>N48</f>
        <v>7</v>
      </c>
      <c r="H48" s="19">
        <f>N48</f>
        <v>7</v>
      </c>
      <c r="I48" s="19">
        <f>N48</f>
        <v>7</v>
      </c>
      <c r="J48" s="19">
        <f>N48</f>
        <v>7</v>
      </c>
      <c r="K48" s="19">
        <f>N48</f>
        <v>7</v>
      </c>
      <c r="L48" s="19">
        <f>N48</f>
        <v>7</v>
      </c>
      <c r="N48" s="19">
        <v>7</v>
      </c>
    </row>
    <row r="49" spans="1:25 16384:16384" x14ac:dyDescent="0.25">
      <c r="A49" s="2" t="s">
        <v>54</v>
      </c>
      <c r="C49" s="19">
        <f>N49</f>
        <v>25</v>
      </c>
      <c r="D49" s="19">
        <f>N49</f>
        <v>25</v>
      </c>
      <c r="E49" s="19">
        <f>N49</f>
        <v>25</v>
      </c>
      <c r="F49" s="19">
        <f>N49</f>
        <v>25</v>
      </c>
      <c r="G49" s="19">
        <f>N49</f>
        <v>25</v>
      </c>
      <c r="H49" s="19">
        <f>N49</f>
        <v>25</v>
      </c>
      <c r="I49" s="19">
        <f>N49</f>
        <v>25</v>
      </c>
      <c r="J49" s="19">
        <f>N49</f>
        <v>25</v>
      </c>
      <c r="K49" s="19">
        <f>N49</f>
        <v>25</v>
      </c>
      <c r="L49" s="19">
        <f>N49</f>
        <v>25</v>
      </c>
      <c r="N49" s="19">
        <v>25</v>
      </c>
    </row>
    <row r="50" spans="1:25 16384:16384" x14ac:dyDescent="0.25">
      <c r="A50" s="13" t="s">
        <v>55</v>
      </c>
      <c r="C50" s="31">
        <f t="shared" ref="C50:L50" si="40">$N$50</f>
        <v>12.06</v>
      </c>
      <c r="D50" s="31">
        <f t="shared" si="40"/>
        <v>12.06</v>
      </c>
      <c r="E50" s="31">
        <f t="shared" si="40"/>
        <v>12.06</v>
      </c>
      <c r="F50" s="31">
        <f t="shared" si="40"/>
        <v>12.06</v>
      </c>
      <c r="G50" s="31">
        <f t="shared" si="40"/>
        <v>12.06</v>
      </c>
      <c r="H50" s="31">
        <f t="shared" si="40"/>
        <v>12.06</v>
      </c>
      <c r="I50" s="31">
        <f t="shared" si="40"/>
        <v>12.06</v>
      </c>
      <c r="J50" s="31">
        <f t="shared" si="40"/>
        <v>12.06</v>
      </c>
      <c r="K50" s="31">
        <f t="shared" si="40"/>
        <v>12.06</v>
      </c>
      <c r="L50" s="31">
        <f t="shared" si="40"/>
        <v>12.06</v>
      </c>
      <c r="N50" s="31">
        <v>12.06</v>
      </c>
      <c r="O50" s="19" t="s">
        <v>144</v>
      </c>
    </row>
    <row r="51" spans="1:25 16384:16384" x14ac:dyDescent="0.25">
      <c r="A51" s="13" t="s">
        <v>56</v>
      </c>
      <c r="C51" s="31">
        <f t="shared" ref="C51:L51" si="41">$N$51</f>
        <v>12.07</v>
      </c>
      <c r="D51" s="31">
        <f t="shared" si="41"/>
        <v>12.07</v>
      </c>
      <c r="E51" s="31">
        <f t="shared" si="41"/>
        <v>12.07</v>
      </c>
      <c r="F51" s="31">
        <f t="shared" si="41"/>
        <v>12.07</v>
      </c>
      <c r="G51" s="31">
        <f t="shared" si="41"/>
        <v>12.07</v>
      </c>
      <c r="H51" s="31">
        <f t="shared" si="41"/>
        <v>12.07</v>
      </c>
      <c r="I51" s="31">
        <f t="shared" si="41"/>
        <v>12.07</v>
      </c>
      <c r="J51" s="31">
        <f t="shared" si="41"/>
        <v>12.07</v>
      </c>
      <c r="K51" s="31">
        <f t="shared" si="41"/>
        <v>12.07</v>
      </c>
      <c r="L51" s="31">
        <f t="shared" si="41"/>
        <v>12.07</v>
      </c>
      <c r="N51" s="31">
        <v>12.07</v>
      </c>
    </row>
    <row r="52" spans="1:25 16384:16384" x14ac:dyDescent="0.25">
      <c r="A52" s="13" t="s">
        <v>63</v>
      </c>
      <c r="C52" s="19">
        <f>N52</f>
        <v>150</v>
      </c>
      <c r="D52" s="19">
        <f>N52</f>
        <v>150</v>
      </c>
      <c r="E52" s="19">
        <f>N52</f>
        <v>150</v>
      </c>
      <c r="F52" s="19">
        <f>N52</f>
        <v>150</v>
      </c>
      <c r="G52" s="19">
        <f>N52</f>
        <v>150</v>
      </c>
      <c r="H52" s="19">
        <f>N52</f>
        <v>150</v>
      </c>
      <c r="I52" s="19">
        <f>N52</f>
        <v>150</v>
      </c>
      <c r="J52" s="19">
        <f>N52</f>
        <v>150</v>
      </c>
      <c r="K52" s="19">
        <f>N52</f>
        <v>150</v>
      </c>
      <c r="L52" s="19">
        <f>N52</f>
        <v>150</v>
      </c>
      <c r="N52" s="19">
        <v>150</v>
      </c>
    </row>
    <row r="53" spans="1:25 16384:16384" x14ac:dyDescent="0.25">
      <c r="A53" s="13" t="s">
        <v>64</v>
      </c>
      <c r="C53" s="19">
        <f>N53</f>
        <v>240</v>
      </c>
      <c r="D53" s="19">
        <f>N53</f>
        <v>240</v>
      </c>
      <c r="E53" s="19">
        <f>N53</f>
        <v>240</v>
      </c>
      <c r="F53" s="19">
        <f>N53</f>
        <v>240</v>
      </c>
      <c r="G53" s="19">
        <f>N53</f>
        <v>240</v>
      </c>
      <c r="H53" s="19">
        <f>N53</f>
        <v>240</v>
      </c>
      <c r="I53" s="19">
        <f>N53</f>
        <v>240</v>
      </c>
      <c r="J53" s="19">
        <f>N53</f>
        <v>240</v>
      </c>
      <c r="K53" s="19">
        <f>N53</f>
        <v>240</v>
      </c>
      <c r="L53" s="19">
        <f>N53</f>
        <v>240</v>
      </c>
      <c r="N53" s="19">
        <v>240</v>
      </c>
    </row>
    <row r="54" spans="1:25 16384:16384" x14ac:dyDescent="0.25">
      <c r="A54" s="13" t="s">
        <v>65</v>
      </c>
      <c r="C54" s="31">
        <f t="shared" ref="C54:K54" si="42">$N$54</f>
        <v>1.0549999999999999</v>
      </c>
      <c r="D54" s="31">
        <f t="shared" si="42"/>
        <v>1.0549999999999999</v>
      </c>
      <c r="E54" s="31">
        <f t="shared" si="42"/>
        <v>1.0549999999999999</v>
      </c>
      <c r="F54" s="31">
        <f t="shared" si="42"/>
        <v>1.0549999999999999</v>
      </c>
      <c r="G54" s="31">
        <f t="shared" si="42"/>
        <v>1.0549999999999999</v>
      </c>
      <c r="H54" s="31">
        <f t="shared" si="42"/>
        <v>1.0549999999999999</v>
      </c>
      <c r="I54" s="31">
        <f t="shared" si="42"/>
        <v>1.0549999999999999</v>
      </c>
      <c r="J54" s="31">
        <f t="shared" si="42"/>
        <v>1.0549999999999999</v>
      </c>
      <c r="K54" s="31">
        <f t="shared" si="42"/>
        <v>1.0549999999999999</v>
      </c>
      <c r="L54" s="31">
        <f>$N$54</f>
        <v>1.0549999999999999</v>
      </c>
      <c r="N54" s="31">
        <v>1.0549999999999999</v>
      </c>
      <c r="P54" s="2"/>
      <c r="Q54" s="2"/>
      <c r="R54" s="2"/>
      <c r="S54" s="2"/>
      <c r="T54" s="2"/>
      <c r="U54" s="2"/>
      <c r="V54" s="2"/>
      <c r="W54" s="2"/>
      <c r="X54" s="2"/>
      <c r="Y54" s="2"/>
      <c r="XFD54" t="s">
        <v>143</v>
      </c>
    </row>
    <row r="55" spans="1:25 16384:16384" x14ac:dyDescent="0.25">
      <c r="A55" s="13" t="s">
        <v>66</v>
      </c>
      <c r="C55" s="31">
        <f>$N$55</f>
        <v>6</v>
      </c>
      <c r="D55" s="31">
        <f t="shared" ref="D55:L55" si="43">$N$55</f>
        <v>6</v>
      </c>
      <c r="E55" s="31">
        <f t="shared" si="43"/>
        <v>6</v>
      </c>
      <c r="F55" s="31">
        <f t="shared" si="43"/>
        <v>6</v>
      </c>
      <c r="G55" s="31">
        <f t="shared" si="43"/>
        <v>6</v>
      </c>
      <c r="H55" s="31">
        <f t="shared" si="43"/>
        <v>6</v>
      </c>
      <c r="I55" s="31">
        <f t="shared" si="43"/>
        <v>6</v>
      </c>
      <c r="J55" s="31">
        <f t="shared" si="43"/>
        <v>6</v>
      </c>
      <c r="K55" s="31">
        <f t="shared" si="43"/>
        <v>6</v>
      </c>
      <c r="L55" s="31">
        <f t="shared" si="43"/>
        <v>6</v>
      </c>
      <c r="N55" s="31">
        <v>6</v>
      </c>
    </row>
    <row r="56" spans="1:25 16384:16384" x14ac:dyDescent="0.25">
      <c r="A56" s="4" t="s">
        <v>57</v>
      </c>
      <c r="C56" s="19">
        <f>N56</f>
        <v>5.2</v>
      </c>
      <c r="D56" s="19">
        <f>N56</f>
        <v>5.2</v>
      </c>
      <c r="E56" s="19">
        <f>N56</f>
        <v>5.2</v>
      </c>
      <c r="F56" s="19">
        <f>N56</f>
        <v>5.2</v>
      </c>
      <c r="G56" s="19">
        <f>N56</f>
        <v>5.2</v>
      </c>
      <c r="H56" s="19">
        <f>N56</f>
        <v>5.2</v>
      </c>
      <c r="I56" s="19">
        <f>N56</f>
        <v>5.2</v>
      </c>
      <c r="J56" s="19">
        <f>N56</f>
        <v>5.2</v>
      </c>
      <c r="K56" s="19">
        <f>N56</f>
        <v>5.2</v>
      </c>
      <c r="L56" s="19">
        <f>N56</f>
        <v>5.2</v>
      </c>
      <c r="N56" s="19">
        <v>5.2</v>
      </c>
    </row>
    <row r="57" spans="1:25 16384:16384" ht="18.75" x14ac:dyDescent="0.3">
      <c r="A57" s="3" t="s">
        <v>59</v>
      </c>
      <c r="J57" s="10"/>
      <c r="K57" s="10"/>
      <c r="L57" s="10"/>
      <c r="N57" s="19"/>
    </row>
    <row r="58" spans="1:25 16384:16384" x14ac:dyDescent="0.25">
      <c r="A58" s="2" t="s">
        <v>60</v>
      </c>
      <c r="C58" s="25">
        <f>N58</f>
        <v>0.81</v>
      </c>
      <c r="D58" s="25">
        <f>N58</f>
        <v>0.81</v>
      </c>
      <c r="E58" s="25">
        <f>N58</f>
        <v>0.81</v>
      </c>
      <c r="F58" s="25">
        <f>N58</f>
        <v>0.81</v>
      </c>
      <c r="G58" s="25">
        <f>N58</f>
        <v>0.81</v>
      </c>
      <c r="H58" s="25">
        <f>N58</f>
        <v>0.81</v>
      </c>
      <c r="I58" s="25">
        <f>N58</f>
        <v>0.81</v>
      </c>
      <c r="J58" s="25">
        <f>N58</f>
        <v>0.81</v>
      </c>
      <c r="K58" s="25">
        <f>N58</f>
        <v>0.81</v>
      </c>
      <c r="L58" s="22">
        <f>N58</f>
        <v>0.81</v>
      </c>
      <c r="N58" s="24">
        <v>0.81</v>
      </c>
    </row>
    <row r="59" spans="1:25 16384:16384" x14ac:dyDescent="0.25">
      <c r="A59" s="2" t="s">
        <v>61</v>
      </c>
      <c r="C59" s="25">
        <f>N59</f>
        <v>0.81</v>
      </c>
      <c r="D59" s="25">
        <f>N59</f>
        <v>0.81</v>
      </c>
      <c r="E59" s="25">
        <f>N59</f>
        <v>0.81</v>
      </c>
      <c r="F59" s="25">
        <f>N59</f>
        <v>0.81</v>
      </c>
      <c r="G59" s="25">
        <f>N59</f>
        <v>0.81</v>
      </c>
      <c r="H59" s="25">
        <f>N59</f>
        <v>0.81</v>
      </c>
      <c r="I59" s="25">
        <f>N59</f>
        <v>0.81</v>
      </c>
      <c r="J59" s="25">
        <f>N59</f>
        <v>0.81</v>
      </c>
      <c r="K59" s="25">
        <f>N59</f>
        <v>0.81</v>
      </c>
      <c r="L59" s="22">
        <f>N59</f>
        <v>0.81</v>
      </c>
      <c r="N59" s="24">
        <v>0.81</v>
      </c>
    </row>
    <row r="61" spans="1:25 16384:16384" x14ac:dyDescent="0.25">
      <c r="N61" s="19"/>
      <c r="O61" t="s">
        <v>145</v>
      </c>
    </row>
    <row r="62" spans="1:25 16384:16384" x14ac:dyDescent="0.25">
      <c r="O62" t="s">
        <v>146</v>
      </c>
    </row>
    <row r="63" spans="1:25 16384:16384" x14ac:dyDescent="0.25">
      <c r="O63" t="s">
        <v>147</v>
      </c>
    </row>
    <row r="65" spans="1:24" ht="26.25" x14ac:dyDescent="0.4">
      <c r="A65" s="73" t="s">
        <v>148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24" x14ac:dyDescent="0.25">
      <c r="Q66" s="69" t="s">
        <v>155</v>
      </c>
      <c r="R66" s="70"/>
      <c r="T66" s="74" t="s">
        <v>35</v>
      </c>
      <c r="U66" s="75"/>
      <c r="W66" s="74" t="s">
        <v>156</v>
      </c>
      <c r="X66" s="75"/>
    </row>
    <row r="67" spans="1:24" ht="21" x14ac:dyDescent="0.35">
      <c r="D67" s="53" t="s">
        <v>149</v>
      </c>
      <c r="E67" s="53"/>
      <c r="G67" s="32"/>
      <c r="H67" s="54" t="s">
        <v>150</v>
      </c>
      <c r="I67" s="54"/>
      <c r="Q67" s="34">
        <v>4.09</v>
      </c>
      <c r="R67" s="34">
        <v>100</v>
      </c>
      <c r="T67" s="34">
        <v>72</v>
      </c>
      <c r="U67" s="34">
        <v>100</v>
      </c>
      <c r="W67" s="34">
        <v>29</v>
      </c>
      <c r="X67" s="34">
        <v>100</v>
      </c>
    </row>
    <row r="68" spans="1:24" x14ac:dyDescent="0.25">
      <c r="C68" s="6" t="s">
        <v>151</v>
      </c>
      <c r="D68" s="6" t="s">
        <v>21</v>
      </c>
      <c r="E68" s="6" t="s">
        <v>152</v>
      </c>
      <c r="H68" s="6" t="s">
        <v>153</v>
      </c>
      <c r="I68" s="6" t="s">
        <v>154</v>
      </c>
      <c r="Q68" s="34">
        <v>4.1900000000000004</v>
      </c>
      <c r="R68" s="34">
        <v>95</v>
      </c>
      <c r="T68" s="34">
        <v>73</v>
      </c>
      <c r="U68" s="34">
        <v>95</v>
      </c>
      <c r="W68" s="34">
        <v>30</v>
      </c>
      <c r="X68" s="34">
        <v>95</v>
      </c>
    </row>
    <row r="69" spans="1:24" x14ac:dyDescent="0.25">
      <c r="C69" s="33" t="s">
        <v>1</v>
      </c>
      <c r="D69" s="33" t="s">
        <v>22</v>
      </c>
      <c r="E69" s="34">
        <f>N4</f>
        <v>4</v>
      </c>
      <c r="G69" s="33" t="s">
        <v>50</v>
      </c>
      <c r="H69" s="34">
        <f t="shared" ref="H69:H79" si="44">N46</f>
        <v>19</v>
      </c>
      <c r="I69" s="35">
        <f>(H69/21)*100</f>
        <v>90.476190476190482</v>
      </c>
      <c r="Q69" s="34">
        <v>4.29</v>
      </c>
      <c r="R69" s="34">
        <v>90</v>
      </c>
      <c r="T69" s="34">
        <v>74</v>
      </c>
      <c r="U69" s="34">
        <v>90</v>
      </c>
      <c r="W69" s="34">
        <v>31</v>
      </c>
      <c r="X69" s="34">
        <v>90</v>
      </c>
    </row>
    <row r="70" spans="1:24" x14ac:dyDescent="0.25">
      <c r="C70" s="33" t="s">
        <v>2</v>
      </c>
      <c r="D70" s="33" t="s">
        <v>22</v>
      </c>
      <c r="E70" s="34">
        <f>N5</f>
        <v>4</v>
      </c>
      <c r="G70" s="33" t="s">
        <v>157</v>
      </c>
      <c r="H70" s="34">
        <f t="shared" si="44"/>
        <v>20</v>
      </c>
      <c r="I70" s="35">
        <f>(H70/45)*100</f>
        <v>44.444444444444443</v>
      </c>
      <c r="Q70" s="34">
        <v>4.3899999999999997</v>
      </c>
      <c r="R70" s="34">
        <v>85</v>
      </c>
      <c r="T70" s="34">
        <v>75</v>
      </c>
      <c r="U70" s="34">
        <v>85</v>
      </c>
      <c r="W70" s="34">
        <v>32</v>
      </c>
      <c r="X70" s="34">
        <v>85</v>
      </c>
    </row>
    <row r="71" spans="1:24" x14ac:dyDescent="0.25">
      <c r="C71" s="33" t="s">
        <v>3</v>
      </c>
      <c r="D71" s="33" t="s">
        <v>22</v>
      </c>
      <c r="E71" s="34">
        <f>N6</f>
        <v>4</v>
      </c>
      <c r="G71" s="33" t="s">
        <v>158</v>
      </c>
      <c r="H71" s="34">
        <f t="shared" si="44"/>
        <v>7</v>
      </c>
      <c r="I71" s="35">
        <f>(H71/15)*100</f>
        <v>46.666666666666664</v>
      </c>
      <c r="Q71" s="34">
        <v>4.49</v>
      </c>
      <c r="R71" s="34">
        <v>80</v>
      </c>
      <c r="T71" s="34">
        <v>76</v>
      </c>
      <c r="U71" s="34">
        <v>80</v>
      </c>
      <c r="W71" s="34">
        <v>33</v>
      </c>
      <c r="X71" s="34">
        <v>80</v>
      </c>
    </row>
    <row r="72" spans="1:24" x14ac:dyDescent="0.25">
      <c r="C72" s="33" t="s">
        <v>4</v>
      </c>
      <c r="D72" s="33" t="s">
        <v>22</v>
      </c>
      <c r="E72" s="34">
        <f>N7</f>
        <v>4</v>
      </c>
      <c r="G72" s="62" t="s">
        <v>159</v>
      </c>
      <c r="H72" s="34">
        <f t="shared" si="44"/>
        <v>25</v>
      </c>
      <c r="I72" s="35">
        <f>(H72/45)*100</f>
        <v>55.555555555555557</v>
      </c>
      <c r="Q72" s="34">
        <v>4.59</v>
      </c>
      <c r="R72" s="34">
        <v>75</v>
      </c>
      <c r="T72" s="34">
        <v>77</v>
      </c>
      <c r="U72" s="34">
        <v>75</v>
      </c>
      <c r="W72" s="34">
        <v>34</v>
      </c>
      <c r="X72" s="34">
        <v>75</v>
      </c>
    </row>
    <row r="73" spans="1:24" x14ac:dyDescent="0.25">
      <c r="C73" s="33" t="s">
        <v>5</v>
      </c>
      <c r="D73" s="33" t="s">
        <v>22</v>
      </c>
      <c r="E73" s="34">
        <f>N7</f>
        <v>4</v>
      </c>
      <c r="G73" s="65" t="s">
        <v>160</v>
      </c>
      <c r="H73" s="56">
        <f t="shared" si="44"/>
        <v>12.06</v>
      </c>
      <c r="I73" s="35">
        <f>(H73/24)*100</f>
        <v>50.250000000000007</v>
      </c>
      <c r="Q73" s="34">
        <v>4.6900000000000004</v>
      </c>
      <c r="R73" s="34">
        <v>70</v>
      </c>
      <c r="T73" s="34">
        <v>78</v>
      </c>
      <c r="U73" s="34">
        <v>70</v>
      </c>
      <c r="W73" s="34">
        <v>35</v>
      </c>
      <c r="X73" s="34">
        <v>70</v>
      </c>
    </row>
    <row r="74" spans="1:24" x14ac:dyDescent="0.25">
      <c r="C74" s="33" t="s">
        <v>6</v>
      </c>
      <c r="D74" s="33" t="s">
        <v>1</v>
      </c>
      <c r="E74" s="34">
        <f>N8</f>
        <v>3</v>
      </c>
      <c r="G74" s="63" t="s">
        <v>161</v>
      </c>
      <c r="H74" s="56">
        <f t="shared" si="44"/>
        <v>12.07</v>
      </c>
      <c r="I74" s="35">
        <f>(H74/24)*100</f>
        <v>50.291666666666671</v>
      </c>
      <c r="Q74" s="34">
        <v>4.79</v>
      </c>
      <c r="R74" s="34">
        <v>65</v>
      </c>
      <c r="T74" s="34">
        <v>79</v>
      </c>
      <c r="U74" s="34">
        <v>65</v>
      </c>
      <c r="W74" s="34">
        <v>36</v>
      </c>
      <c r="X74" s="34">
        <v>65</v>
      </c>
    </row>
    <row r="75" spans="1:24" x14ac:dyDescent="0.25">
      <c r="C75" s="33" t="s">
        <v>7</v>
      </c>
      <c r="D75" s="33" t="s">
        <v>2</v>
      </c>
      <c r="E75" s="34">
        <f>N9</f>
        <v>2</v>
      </c>
      <c r="G75" s="33" t="s">
        <v>162</v>
      </c>
      <c r="H75" s="34">
        <f t="shared" si="44"/>
        <v>150</v>
      </c>
      <c r="I75" s="35">
        <f>(H75/240)*100</f>
        <v>62.5</v>
      </c>
      <c r="Q75" s="34">
        <v>4.8899999999999997</v>
      </c>
      <c r="R75" s="34">
        <v>60</v>
      </c>
      <c r="T75" s="34">
        <v>80</v>
      </c>
      <c r="U75" s="34">
        <v>60</v>
      </c>
      <c r="W75" s="34">
        <v>37</v>
      </c>
      <c r="X75" s="34">
        <v>60</v>
      </c>
    </row>
    <row r="76" spans="1:24" x14ac:dyDescent="0.25">
      <c r="D76" s="36" t="s">
        <v>163</v>
      </c>
      <c r="E76" s="34">
        <f>SUM(E69:E75)</f>
        <v>25</v>
      </c>
      <c r="G76" s="33" t="s">
        <v>164</v>
      </c>
      <c r="H76" s="34">
        <f t="shared" si="44"/>
        <v>240</v>
      </c>
      <c r="I76" s="35">
        <f>(H76/240)*100</f>
        <v>100</v>
      </c>
      <c r="Q76" s="34">
        <v>4.99</v>
      </c>
      <c r="R76" s="34">
        <v>55</v>
      </c>
      <c r="T76" s="34">
        <v>81</v>
      </c>
      <c r="U76" s="34">
        <v>55</v>
      </c>
      <c r="W76" s="34">
        <v>38</v>
      </c>
      <c r="X76" s="34">
        <v>55</v>
      </c>
    </row>
    <row r="77" spans="1:24" x14ac:dyDescent="0.25">
      <c r="E77" s="19"/>
      <c r="G77" s="33" t="s">
        <v>165</v>
      </c>
      <c r="H77" s="56">
        <f t="shared" si="44"/>
        <v>1.0549999999999999</v>
      </c>
      <c r="I77" s="35">
        <f>(H77/2.04)*100</f>
        <v>51.7156862745098</v>
      </c>
      <c r="Q77" s="34">
        <v>5.0900000000000096</v>
      </c>
      <c r="R77" s="34">
        <v>50</v>
      </c>
      <c r="T77" s="34">
        <v>82</v>
      </c>
      <c r="U77" s="34">
        <v>50</v>
      </c>
      <c r="W77" s="34">
        <v>39</v>
      </c>
      <c r="X77" s="34">
        <v>50</v>
      </c>
    </row>
    <row r="78" spans="1:24" x14ac:dyDescent="0.25">
      <c r="C78" s="6" t="s">
        <v>8</v>
      </c>
      <c r="D78" s="6" t="s">
        <v>21</v>
      </c>
      <c r="E78" s="6" t="s">
        <v>166</v>
      </c>
      <c r="G78" s="37" t="s">
        <v>167</v>
      </c>
      <c r="H78" s="57">
        <f t="shared" si="44"/>
        <v>6</v>
      </c>
      <c r="I78" s="39">
        <f>(H78/8)*100</f>
        <v>75</v>
      </c>
      <c r="Q78" s="34">
        <v>5.1900000000000102</v>
      </c>
      <c r="R78" s="34">
        <v>45</v>
      </c>
      <c r="T78" s="34">
        <v>83</v>
      </c>
      <c r="U78" s="34">
        <v>45</v>
      </c>
      <c r="W78" s="34">
        <v>40</v>
      </c>
      <c r="X78" s="34">
        <v>45</v>
      </c>
    </row>
    <row r="79" spans="1:24" x14ac:dyDescent="0.25">
      <c r="C79" s="33" t="s">
        <v>10</v>
      </c>
      <c r="D79" s="33" t="s">
        <v>2</v>
      </c>
      <c r="E79" s="34">
        <f t="shared" ref="E79:E89" si="45">N12</f>
        <v>2</v>
      </c>
      <c r="G79" s="40" t="s">
        <v>168</v>
      </c>
      <c r="H79" s="34">
        <f t="shared" si="44"/>
        <v>5.2</v>
      </c>
      <c r="I79" s="39">
        <v>45</v>
      </c>
      <c r="Q79" s="34">
        <v>5.2900000000000098</v>
      </c>
      <c r="R79" s="34">
        <v>40</v>
      </c>
      <c r="T79" s="34">
        <v>84</v>
      </c>
      <c r="U79" s="34">
        <v>40</v>
      </c>
      <c r="W79" s="34">
        <v>41</v>
      </c>
      <c r="X79" s="34">
        <v>40</v>
      </c>
    </row>
    <row r="80" spans="1:24" x14ac:dyDescent="0.25">
      <c r="C80" s="33" t="s">
        <v>9</v>
      </c>
      <c r="D80" s="33" t="s">
        <v>2</v>
      </c>
      <c r="E80" s="34">
        <f t="shared" si="45"/>
        <v>1</v>
      </c>
      <c r="G80" s="10"/>
      <c r="H80" s="41" t="s">
        <v>169</v>
      </c>
      <c r="I80" s="42">
        <f>SUM(H69:H78)+(I79)</f>
        <v>537.18499999999995</v>
      </c>
      <c r="Q80" s="34">
        <v>5.3900000000000103</v>
      </c>
      <c r="R80" s="34">
        <v>35</v>
      </c>
      <c r="T80" s="34">
        <v>85</v>
      </c>
      <c r="U80" s="34">
        <v>35</v>
      </c>
      <c r="W80" s="34">
        <v>42</v>
      </c>
      <c r="X80" s="34">
        <v>35</v>
      </c>
    </row>
    <row r="81" spans="3:24" x14ac:dyDescent="0.25">
      <c r="C81" s="33" t="s">
        <v>11</v>
      </c>
      <c r="D81" s="33" t="s">
        <v>72</v>
      </c>
      <c r="E81" s="34">
        <f t="shared" si="45"/>
        <v>0</v>
      </c>
      <c r="H81" s="43" t="s">
        <v>170</v>
      </c>
      <c r="I81" s="44">
        <f>(I80/790)*33</f>
        <v>22.439373417721516</v>
      </c>
      <c r="Q81" s="34">
        <v>5.49000000000001</v>
      </c>
      <c r="R81" s="34">
        <v>30</v>
      </c>
      <c r="T81" s="34">
        <v>86</v>
      </c>
      <c r="U81" s="34">
        <v>30</v>
      </c>
      <c r="W81" s="34">
        <v>43</v>
      </c>
      <c r="X81" s="34">
        <v>30</v>
      </c>
    </row>
    <row r="82" spans="3:24" ht="15" customHeight="1" x14ac:dyDescent="0.35">
      <c r="C82" s="33" t="s">
        <v>12</v>
      </c>
      <c r="D82" s="33" t="s">
        <v>23</v>
      </c>
      <c r="E82" s="34">
        <f t="shared" si="45"/>
        <v>2</v>
      </c>
      <c r="G82" s="45"/>
      <c r="H82" s="46"/>
      <c r="I82" s="46"/>
      <c r="Q82" s="34">
        <v>5.5900000000000096</v>
      </c>
      <c r="R82" s="34">
        <v>25</v>
      </c>
      <c r="T82" s="34">
        <v>87</v>
      </c>
      <c r="U82" s="34">
        <v>25</v>
      </c>
      <c r="W82" s="34">
        <v>44</v>
      </c>
      <c r="X82" s="34">
        <v>25</v>
      </c>
    </row>
    <row r="83" spans="3:24" ht="15" customHeight="1" x14ac:dyDescent="0.25">
      <c r="C83" s="33" t="s">
        <v>13</v>
      </c>
      <c r="D83" s="33" t="s">
        <v>23</v>
      </c>
      <c r="E83" s="34">
        <f t="shared" si="45"/>
        <v>3</v>
      </c>
      <c r="G83" s="68" t="s">
        <v>171</v>
      </c>
      <c r="H83" s="68"/>
      <c r="I83" s="68"/>
      <c r="Q83" s="34">
        <v>5.6900000000000102</v>
      </c>
      <c r="R83" s="34">
        <v>20</v>
      </c>
      <c r="T83" s="34">
        <v>88</v>
      </c>
      <c r="U83" s="34">
        <v>20</v>
      </c>
      <c r="W83" s="34">
        <v>45</v>
      </c>
      <c r="X83" s="34">
        <v>20</v>
      </c>
    </row>
    <row r="84" spans="3:24" ht="15" customHeight="1" x14ac:dyDescent="0.25">
      <c r="C84" s="33" t="s">
        <v>14</v>
      </c>
      <c r="D84" s="33" t="s">
        <v>23</v>
      </c>
      <c r="E84" s="34">
        <f t="shared" si="45"/>
        <v>4</v>
      </c>
      <c r="G84" s="68"/>
      <c r="H84" s="68"/>
      <c r="I84" s="68"/>
      <c r="Q84" s="34">
        <v>5.7900000000000098</v>
      </c>
      <c r="R84" s="34">
        <v>15</v>
      </c>
      <c r="T84" s="34">
        <v>89</v>
      </c>
      <c r="U84" s="34">
        <v>15</v>
      </c>
      <c r="W84" s="34">
        <v>46</v>
      </c>
      <c r="X84" s="34">
        <v>15</v>
      </c>
    </row>
    <row r="85" spans="3:24" x14ac:dyDescent="0.25">
      <c r="C85" s="33" t="s">
        <v>15</v>
      </c>
      <c r="D85" s="33" t="s">
        <v>6</v>
      </c>
      <c r="E85" s="34">
        <f t="shared" si="45"/>
        <v>1</v>
      </c>
      <c r="G85" s="10"/>
      <c r="H85" s="47" t="s">
        <v>172</v>
      </c>
      <c r="I85" s="47" t="s">
        <v>154</v>
      </c>
      <c r="Q85" s="34">
        <v>5.8900000000000103</v>
      </c>
      <c r="R85" s="34">
        <v>10</v>
      </c>
      <c r="T85" s="34">
        <v>90</v>
      </c>
      <c r="U85" s="34">
        <v>10</v>
      </c>
      <c r="W85" s="34">
        <v>47</v>
      </c>
      <c r="X85" s="34">
        <v>10</v>
      </c>
    </row>
    <row r="86" spans="3:24" x14ac:dyDescent="0.25">
      <c r="C86" s="33" t="s">
        <v>173</v>
      </c>
      <c r="D86" s="33" t="s">
        <v>6</v>
      </c>
      <c r="E86" s="34">
        <f t="shared" si="45"/>
        <v>0</v>
      </c>
      <c r="G86" s="37" t="s">
        <v>35</v>
      </c>
      <c r="H86" s="38">
        <f t="shared" ref="H86:H94" si="46">N36</f>
        <v>16.7</v>
      </c>
      <c r="I86" s="39">
        <v>20.16</v>
      </c>
      <c r="Q86" s="34">
        <v>5.99000000000001</v>
      </c>
      <c r="R86" s="34">
        <v>5</v>
      </c>
      <c r="T86" s="34">
        <v>91</v>
      </c>
      <c r="U86" s="34">
        <v>5</v>
      </c>
      <c r="W86" s="34">
        <v>48</v>
      </c>
      <c r="X86" s="34">
        <v>5</v>
      </c>
    </row>
    <row r="87" spans="3:24" x14ac:dyDescent="0.25">
      <c r="C87" s="33" t="s">
        <v>17</v>
      </c>
      <c r="D87" s="33" t="s">
        <v>6</v>
      </c>
      <c r="E87" s="34">
        <f t="shared" si="45"/>
        <v>1</v>
      </c>
      <c r="G87" s="61" t="s">
        <v>174</v>
      </c>
      <c r="H87" s="60">
        <f t="shared" si="46"/>
        <v>0.27779999999999999</v>
      </c>
      <c r="I87" s="39">
        <f>(H87/60%)*100</f>
        <v>46.300000000000004</v>
      </c>
    </row>
    <row r="88" spans="3:24" x14ac:dyDescent="0.25">
      <c r="C88" s="33" t="s">
        <v>18</v>
      </c>
      <c r="D88" s="33" t="s">
        <v>24</v>
      </c>
      <c r="E88" s="34">
        <f t="shared" si="45"/>
        <v>0</v>
      </c>
      <c r="G88" s="37" t="s">
        <v>175</v>
      </c>
      <c r="H88" s="60">
        <f t="shared" si="46"/>
        <v>0.57140000000000002</v>
      </c>
      <c r="I88" s="39">
        <f>(H88/50%)*100</f>
        <v>114.28</v>
      </c>
      <c r="Q88" s="69" t="s">
        <v>177</v>
      </c>
      <c r="R88" s="70"/>
      <c r="T88" s="69" t="s">
        <v>178</v>
      </c>
      <c r="U88" s="70"/>
      <c r="W88" s="69" t="s">
        <v>179</v>
      </c>
      <c r="X88" s="70"/>
    </row>
    <row r="89" spans="3:24" x14ac:dyDescent="0.25">
      <c r="C89" s="33" t="s">
        <v>176</v>
      </c>
      <c r="D89" s="33" t="s">
        <v>23</v>
      </c>
      <c r="E89" s="34">
        <f t="shared" si="45"/>
        <v>2</v>
      </c>
      <c r="G89" s="37" t="s">
        <v>156</v>
      </c>
      <c r="H89" s="38">
        <f t="shared" si="46"/>
        <v>34.799999999999997</v>
      </c>
      <c r="I89" s="39">
        <v>76.760000000000005</v>
      </c>
      <c r="Q89" s="34">
        <v>1.67</v>
      </c>
      <c r="R89" s="34">
        <v>100</v>
      </c>
      <c r="T89" s="34">
        <v>43</v>
      </c>
      <c r="U89" s="34">
        <v>100</v>
      </c>
      <c r="W89" s="34">
        <v>47</v>
      </c>
      <c r="X89" s="34">
        <v>100</v>
      </c>
    </row>
    <row r="90" spans="3:24" x14ac:dyDescent="0.25">
      <c r="D90" s="36" t="s">
        <v>163</v>
      </c>
      <c r="E90" s="34">
        <f>SUM(E79:E89)</f>
        <v>16</v>
      </c>
      <c r="G90" s="37" t="s">
        <v>177</v>
      </c>
      <c r="H90" s="59">
        <f t="shared" si="46"/>
        <v>0</v>
      </c>
      <c r="I90" s="39">
        <v>2.04</v>
      </c>
      <c r="Q90" s="34">
        <v>1.77</v>
      </c>
      <c r="R90" s="34">
        <v>95</v>
      </c>
      <c r="T90" s="34">
        <v>45</v>
      </c>
      <c r="U90" s="34">
        <v>95</v>
      </c>
      <c r="W90" s="34">
        <v>49</v>
      </c>
      <c r="X90" s="34">
        <v>95</v>
      </c>
    </row>
    <row r="91" spans="3:24" x14ac:dyDescent="0.25">
      <c r="E91" s="19"/>
      <c r="G91" s="37" t="s">
        <v>180</v>
      </c>
      <c r="H91" s="58">
        <f t="shared" si="46"/>
        <v>0.16</v>
      </c>
      <c r="I91" s="39">
        <f>(H91/40%)*100</f>
        <v>40</v>
      </c>
      <c r="Q91" s="34">
        <v>1.87</v>
      </c>
      <c r="R91" s="34">
        <v>90</v>
      </c>
      <c r="T91" s="34">
        <v>47</v>
      </c>
      <c r="U91" s="34">
        <v>90</v>
      </c>
      <c r="W91" s="34">
        <v>51</v>
      </c>
      <c r="X91" s="34">
        <v>90</v>
      </c>
    </row>
    <row r="92" spans="3:24" x14ac:dyDescent="0.25">
      <c r="C92" s="6" t="s">
        <v>181</v>
      </c>
      <c r="D92" s="6" t="s">
        <v>21</v>
      </c>
      <c r="E92" s="6" t="s">
        <v>152</v>
      </c>
      <c r="G92" s="37" t="s">
        <v>182</v>
      </c>
      <c r="H92" s="58">
        <f t="shared" si="46"/>
        <v>0</v>
      </c>
      <c r="I92" s="39">
        <f>(H92/81%)*100</f>
        <v>0</v>
      </c>
      <c r="Q92" s="34">
        <v>2</v>
      </c>
      <c r="R92" s="34">
        <v>85</v>
      </c>
      <c r="T92" s="34">
        <v>49</v>
      </c>
      <c r="U92" s="34">
        <v>85</v>
      </c>
      <c r="W92" s="34">
        <v>53</v>
      </c>
      <c r="X92" s="34">
        <v>85</v>
      </c>
    </row>
    <row r="93" spans="3:24" x14ac:dyDescent="0.25">
      <c r="C93" s="33" t="s">
        <v>11</v>
      </c>
      <c r="D93" s="33" t="s">
        <v>23</v>
      </c>
      <c r="E93" s="34">
        <f>N24</f>
        <v>4</v>
      </c>
      <c r="G93" s="37" t="s">
        <v>183</v>
      </c>
      <c r="H93" s="38">
        <f t="shared" si="46"/>
        <v>50</v>
      </c>
      <c r="I93" s="39">
        <v>82.5</v>
      </c>
      <c r="Q93" s="34">
        <v>2.0699999999999998</v>
      </c>
      <c r="R93" s="34">
        <v>80</v>
      </c>
      <c r="T93" s="34">
        <v>51</v>
      </c>
      <c r="U93" s="34">
        <v>80</v>
      </c>
      <c r="W93" s="34">
        <v>55</v>
      </c>
      <c r="X93" s="34">
        <v>80</v>
      </c>
    </row>
    <row r="94" spans="3:24" x14ac:dyDescent="0.25">
      <c r="C94" s="33" t="s">
        <v>20</v>
      </c>
      <c r="D94" s="33" t="s">
        <v>6</v>
      </c>
      <c r="E94" s="34">
        <f>N25</f>
        <v>1</v>
      </c>
      <c r="G94" s="37" t="s">
        <v>184</v>
      </c>
      <c r="H94" s="38">
        <f t="shared" si="46"/>
        <v>28</v>
      </c>
      <c r="I94" s="39">
        <v>77.5</v>
      </c>
      <c r="Q94" s="34">
        <v>2.1850000000000001</v>
      </c>
      <c r="R94" s="34">
        <v>75</v>
      </c>
      <c r="T94" s="34">
        <v>53</v>
      </c>
      <c r="U94" s="34">
        <v>75</v>
      </c>
      <c r="W94" s="34">
        <v>57</v>
      </c>
      <c r="X94" s="34">
        <v>75</v>
      </c>
    </row>
    <row r="95" spans="3:24" x14ac:dyDescent="0.25">
      <c r="D95" s="36" t="s">
        <v>185</v>
      </c>
      <c r="E95" s="34">
        <f>SUM(E93:E94)</f>
        <v>5</v>
      </c>
      <c r="H95" s="48" t="s">
        <v>169</v>
      </c>
      <c r="I95" s="49">
        <f>SUM(I86:I94)</f>
        <v>459.54</v>
      </c>
      <c r="Q95" s="34">
        <v>2.2879999999999998</v>
      </c>
      <c r="R95" s="34">
        <v>70</v>
      </c>
      <c r="T95" s="34">
        <v>55</v>
      </c>
      <c r="U95" s="34">
        <v>70</v>
      </c>
      <c r="W95" s="34">
        <v>59</v>
      </c>
      <c r="X95" s="34">
        <v>70</v>
      </c>
    </row>
    <row r="96" spans="3:24" x14ac:dyDescent="0.25">
      <c r="E96" s="19"/>
      <c r="H96" s="43" t="s">
        <v>186</v>
      </c>
      <c r="I96" s="44">
        <f>(I95/900)*33</f>
        <v>16.849800000000002</v>
      </c>
      <c r="Q96" s="34">
        <v>2.391</v>
      </c>
      <c r="R96" s="34">
        <v>65</v>
      </c>
      <c r="T96" s="34">
        <v>57</v>
      </c>
      <c r="U96" s="34">
        <v>65</v>
      </c>
      <c r="W96" s="34">
        <v>61</v>
      </c>
      <c r="X96" s="34">
        <v>65</v>
      </c>
    </row>
    <row r="97" spans="3:24" x14ac:dyDescent="0.25">
      <c r="C97" s="6" t="s">
        <v>25</v>
      </c>
      <c r="D97" s="6" t="s">
        <v>187</v>
      </c>
      <c r="E97" s="6" t="s">
        <v>188</v>
      </c>
      <c r="Q97" s="34">
        <v>2.4940000000000002</v>
      </c>
      <c r="R97" s="34">
        <v>60</v>
      </c>
      <c r="T97" s="34">
        <v>59</v>
      </c>
      <c r="U97" s="34">
        <v>60</v>
      </c>
      <c r="W97" s="34">
        <v>63</v>
      </c>
      <c r="X97" s="34">
        <v>60</v>
      </c>
    </row>
    <row r="98" spans="3:24" x14ac:dyDescent="0.25">
      <c r="C98" s="33" t="s">
        <v>189</v>
      </c>
      <c r="D98" s="33" t="s">
        <v>14</v>
      </c>
      <c r="E98" s="34">
        <f>N27</f>
        <v>5</v>
      </c>
      <c r="G98" s="1" t="s">
        <v>190</v>
      </c>
      <c r="H98" s="1"/>
      <c r="I98" s="1"/>
      <c r="Q98" s="34">
        <v>2.597</v>
      </c>
      <c r="R98" s="34">
        <v>55</v>
      </c>
      <c r="T98" s="34">
        <v>61</v>
      </c>
      <c r="U98" s="34">
        <v>55</v>
      </c>
      <c r="W98" s="34">
        <v>65</v>
      </c>
      <c r="X98" s="34">
        <v>55</v>
      </c>
    </row>
    <row r="99" spans="3:24" x14ac:dyDescent="0.25">
      <c r="C99" s="33" t="s">
        <v>191</v>
      </c>
      <c r="D99" s="33" t="s">
        <v>13</v>
      </c>
      <c r="E99" s="34">
        <f>N28</f>
        <v>5</v>
      </c>
      <c r="G99" s="2" t="s">
        <v>192</v>
      </c>
      <c r="Q99" s="34">
        <v>2.7</v>
      </c>
      <c r="R99" s="34">
        <v>50</v>
      </c>
      <c r="T99" s="34">
        <v>63</v>
      </c>
      <c r="U99" s="34">
        <v>50</v>
      </c>
      <c r="W99" s="34">
        <v>67</v>
      </c>
      <c r="X99" s="34">
        <v>50</v>
      </c>
    </row>
    <row r="100" spans="3:24" x14ac:dyDescent="0.25">
      <c r="C100" s="33" t="s">
        <v>193</v>
      </c>
      <c r="D100" s="33" t="s">
        <v>12</v>
      </c>
      <c r="E100" s="34">
        <f>N29</f>
        <v>6</v>
      </c>
      <c r="G100" s="2" t="s">
        <v>194</v>
      </c>
      <c r="Q100" s="34">
        <v>2.8029999999999999</v>
      </c>
      <c r="R100" s="34">
        <v>45</v>
      </c>
      <c r="T100" s="34">
        <v>65</v>
      </c>
      <c r="U100" s="34">
        <v>45</v>
      </c>
      <c r="W100" s="34">
        <v>69</v>
      </c>
      <c r="X100" s="34">
        <v>45</v>
      </c>
    </row>
    <row r="101" spans="3:24" x14ac:dyDescent="0.25">
      <c r="E101" s="50" t="s">
        <v>166</v>
      </c>
      <c r="G101" s="2" t="s">
        <v>195</v>
      </c>
      <c r="Q101" s="34">
        <v>2.9060000000000001</v>
      </c>
      <c r="R101" s="34">
        <v>40</v>
      </c>
      <c r="T101" s="34">
        <v>67</v>
      </c>
      <c r="U101" s="34">
        <v>40</v>
      </c>
      <c r="W101" s="34">
        <v>71</v>
      </c>
      <c r="X101" s="34">
        <v>40</v>
      </c>
    </row>
    <row r="102" spans="3:24" x14ac:dyDescent="0.25">
      <c r="C102" s="33" t="s">
        <v>29</v>
      </c>
      <c r="D102" s="33" t="s">
        <v>12</v>
      </c>
      <c r="E102" s="34">
        <f>N30</f>
        <v>0</v>
      </c>
      <c r="G102" s="2" t="s">
        <v>196</v>
      </c>
      <c r="H102" s="66" t="s">
        <v>204</v>
      </c>
      <c r="Q102" s="34">
        <v>3.0089999999999999</v>
      </c>
      <c r="R102" s="34">
        <v>35</v>
      </c>
      <c r="T102" s="34">
        <v>69</v>
      </c>
      <c r="U102" s="34">
        <v>35</v>
      </c>
      <c r="W102" s="34">
        <v>73</v>
      </c>
      <c r="X102" s="34">
        <v>35</v>
      </c>
    </row>
    <row r="103" spans="3:24" x14ac:dyDescent="0.25">
      <c r="C103" s="33" t="s">
        <v>30</v>
      </c>
      <c r="D103" s="33" t="s">
        <v>12</v>
      </c>
      <c r="E103" s="34">
        <f>N31</f>
        <v>4</v>
      </c>
      <c r="G103" s="2" t="s">
        <v>197</v>
      </c>
      <c r="H103" s="51">
        <f>1+E111+I81+I96</f>
        <v>60.142831954306885</v>
      </c>
      <c r="Q103" s="34">
        <v>3.1120000000000001</v>
      </c>
      <c r="R103" s="34">
        <v>30</v>
      </c>
      <c r="T103" s="34">
        <v>71</v>
      </c>
      <c r="U103" s="34">
        <v>30</v>
      </c>
      <c r="W103" s="34">
        <v>75</v>
      </c>
      <c r="X103" s="34">
        <v>30</v>
      </c>
    </row>
    <row r="104" spans="3:24" x14ac:dyDescent="0.25">
      <c r="C104" s="33" t="s">
        <v>31</v>
      </c>
      <c r="D104" s="33" t="s">
        <v>11</v>
      </c>
      <c r="E104" s="34">
        <f>N32</f>
        <v>0</v>
      </c>
      <c r="Q104" s="34">
        <v>3.2149999999999999</v>
      </c>
      <c r="R104" s="34">
        <v>25</v>
      </c>
      <c r="T104" s="34">
        <v>73</v>
      </c>
      <c r="U104" s="34">
        <v>25</v>
      </c>
      <c r="W104" s="34">
        <v>77</v>
      </c>
      <c r="X104" s="34">
        <v>25</v>
      </c>
    </row>
    <row r="105" spans="3:24" x14ac:dyDescent="0.25">
      <c r="C105" s="33" t="s">
        <v>32</v>
      </c>
      <c r="D105" s="33" t="s">
        <v>11</v>
      </c>
      <c r="E105" s="34">
        <f>N33</f>
        <v>3</v>
      </c>
      <c r="Q105" s="34">
        <v>3.3180000000000001</v>
      </c>
      <c r="R105" s="34">
        <v>20</v>
      </c>
      <c r="T105" s="34">
        <v>75</v>
      </c>
      <c r="U105" s="34">
        <v>20</v>
      </c>
      <c r="W105" s="34">
        <v>79</v>
      </c>
      <c r="X105" s="34">
        <v>20</v>
      </c>
    </row>
    <row r="106" spans="3:24" x14ac:dyDescent="0.25">
      <c r="D106" s="48"/>
      <c r="E106" s="50" t="s">
        <v>198</v>
      </c>
      <c r="Q106" s="34">
        <v>3.4209999999999998</v>
      </c>
      <c r="R106" s="34">
        <v>15</v>
      </c>
      <c r="T106" s="34">
        <v>77</v>
      </c>
      <c r="U106" s="34">
        <v>15</v>
      </c>
      <c r="W106" s="34">
        <v>81</v>
      </c>
      <c r="X106" s="34">
        <v>15</v>
      </c>
    </row>
    <row r="107" spans="3:24" x14ac:dyDescent="0.25">
      <c r="C107" s="64" t="s">
        <v>199</v>
      </c>
      <c r="D107" s="52" t="s">
        <v>12</v>
      </c>
      <c r="E107" s="34">
        <f>N34</f>
        <v>5</v>
      </c>
      <c r="Q107" s="34">
        <v>3.524</v>
      </c>
      <c r="R107" s="34">
        <v>10</v>
      </c>
      <c r="T107" s="34">
        <v>79</v>
      </c>
      <c r="U107" s="34">
        <v>10</v>
      </c>
      <c r="W107" s="34">
        <v>83</v>
      </c>
      <c r="X107" s="34">
        <v>10</v>
      </c>
    </row>
    <row r="108" spans="3:24" x14ac:dyDescent="0.25">
      <c r="D108" s="36" t="s">
        <v>185</v>
      </c>
      <c r="E108" s="34">
        <f>SUM(E98:E107)</f>
        <v>28</v>
      </c>
      <c r="Q108" s="34">
        <v>3.6269999999999998</v>
      </c>
      <c r="R108" s="34">
        <v>5</v>
      </c>
      <c r="T108" s="34">
        <v>81</v>
      </c>
      <c r="U108" s="34">
        <v>5</v>
      </c>
      <c r="W108" s="34">
        <v>85</v>
      </c>
      <c r="X108" s="34">
        <v>5</v>
      </c>
    </row>
    <row r="110" spans="3:24" x14ac:dyDescent="0.25">
      <c r="D110" s="36" t="s">
        <v>200</v>
      </c>
      <c r="E110" s="6">
        <f>SUM(E76+E90+E95+E108)</f>
        <v>74</v>
      </c>
    </row>
    <row r="111" spans="3:24" x14ac:dyDescent="0.25">
      <c r="D111" s="43" t="s">
        <v>201</v>
      </c>
      <c r="E111" s="44">
        <f>(E110/123)*33</f>
        <v>19.853658536585368</v>
      </c>
    </row>
  </sheetData>
  <autoFilter ref="A3:L59"/>
  <mergeCells count="10">
    <mergeCell ref="G83:I84"/>
    <mergeCell ref="Q88:R88"/>
    <mergeCell ref="T88:U88"/>
    <mergeCell ref="W88:X88"/>
    <mergeCell ref="A1:O1"/>
    <mergeCell ref="N2:O2"/>
    <mergeCell ref="A65:L65"/>
    <mergeCell ref="Q66:R66"/>
    <mergeCell ref="T66:U66"/>
    <mergeCell ref="W66:X66"/>
  </mergeCells>
  <conditionalFormatting sqref="C4">
    <cfRule type="cellIs" dxfId="1223" priority="603" operator="greaterThan">
      <formula>3</formula>
    </cfRule>
    <cfRule type="cellIs" dxfId="1222" priority="604" operator="lessThan">
      <formula>3</formula>
    </cfRule>
    <cfRule type="cellIs" dxfId="1221" priority="612" operator="equal">
      <formula>3</formula>
    </cfRule>
  </conditionalFormatting>
  <conditionalFormatting sqref="C5">
    <cfRule type="cellIs" dxfId="1220" priority="602" operator="lessThan">
      <formula>2</formula>
    </cfRule>
    <cfRule type="cellIs" dxfId="1219" priority="610" operator="greaterThan">
      <formula>2</formula>
    </cfRule>
    <cfRule type="cellIs" dxfId="1218" priority="611" operator="equal">
      <formula>2</formula>
    </cfRule>
  </conditionalFormatting>
  <conditionalFormatting sqref="C6:D6">
    <cfRule type="cellIs" dxfId="1217" priority="601" operator="lessThan">
      <formula>2</formula>
    </cfRule>
    <cfRule type="cellIs" dxfId="1216" priority="609" operator="greaterThan">
      <formula>1.9</formula>
    </cfRule>
  </conditionalFormatting>
  <conditionalFormatting sqref="C7:D7">
    <cfRule type="cellIs" dxfId="1215" priority="600" operator="lessThan">
      <formula>1</formula>
    </cfRule>
    <cfRule type="cellIs" dxfId="1214" priority="608" operator="greaterThan">
      <formula>0.9</formula>
    </cfRule>
  </conditionalFormatting>
  <conditionalFormatting sqref="C8:D8">
    <cfRule type="cellIs" dxfId="1213" priority="597" operator="greaterThan">
      <formula>0.9</formula>
    </cfRule>
    <cfRule type="cellIs" dxfId="1212" priority="598" operator="greaterThan">
      <formula>1</formula>
    </cfRule>
    <cfRule type="cellIs" dxfId="1211" priority="607" operator="equal">
      <formula>0</formula>
    </cfRule>
  </conditionalFormatting>
  <conditionalFormatting sqref="C9">
    <cfRule type="cellIs" dxfId="1210" priority="606" operator="greaterThan">
      <formula>0</formula>
    </cfRule>
  </conditionalFormatting>
  <conditionalFormatting sqref="C10">
    <cfRule type="cellIs" dxfId="1209" priority="605" operator="greaterThan">
      <formula>0</formula>
    </cfRule>
  </conditionalFormatting>
  <conditionalFormatting sqref="C9:C10">
    <cfRule type="cellIs" dxfId="1208" priority="599" operator="equal">
      <formula>0</formula>
    </cfRule>
  </conditionalFormatting>
  <conditionalFormatting sqref="L4">
    <cfRule type="cellIs" dxfId="1207" priority="596" operator="lessThan">
      <formula>4</formula>
    </cfRule>
  </conditionalFormatting>
  <conditionalFormatting sqref="L5:L7">
    <cfRule type="cellIs" dxfId="1206" priority="595" operator="lessThan">
      <formula>4</formula>
    </cfRule>
  </conditionalFormatting>
  <conditionalFormatting sqref="L8">
    <cfRule type="cellIs" dxfId="1205" priority="591" operator="greaterThan">
      <formula>1.9</formula>
    </cfRule>
    <cfRule type="cellIs" dxfId="1204" priority="594" operator="lessThan">
      <formula>2</formula>
    </cfRule>
  </conditionalFormatting>
  <conditionalFormatting sqref="L9:L10">
    <cfRule type="cellIs" dxfId="1203" priority="590" operator="greaterThan">
      <formula>2.9</formula>
    </cfRule>
    <cfRule type="cellIs" dxfId="1202" priority="593" operator="lessThan">
      <formula>3</formula>
    </cfRule>
  </conditionalFormatting>
  <conditionalFormatting sqref="L4:L7">
    <cfRule type="cellIs" dxfId="1201" priority="592" operator="greaterThan">
      <formula>3.9</formula>
    </cfRule>
  </conditionalFormatting>
  <conditionalFormatting sqref="L12:L15">
    <cfRule type="cellIs" dxfId="1200" priority="588" operator="lessThan">
      <formula>3.9</formula>
    </cfRule>
    <cfRule type="cellIs" dxfId="1199" priority="589" operator="greaterThan">
      <formula>3.9</formula>
    </cfRule>
  </conditionalFormatting>
  <conditionalFormatting sqref="L18:L21">
    <cfRule type="cellIs" dxfId="1198" priority="586" operator="lessThan">
      <formula>2.9</formula>
    </cfRule>
    <cfRule type="cellIs" dxfId="1197" priority="587" operator="greaterThan">
      <formula>2.9</formula>
    </cfRule>
  </conditionalFormatting>
  <conditionalFormatting sqref="L16">
    <cfRule type="cellIs" dxfId="1196" priority="584" operator="lessThan">
      <formula>2.9</formula>
    </cfRule>
    <cfRule type="cellIs" dxfId="1195" priority="585" operator="greaterThan">
      <formula>2.9</formula>
    </cfRule>
  </conditionalFormatting>
  <conditionalFormatting sqref="L17">
    <cfRule type="cellIs" dxfId="1194" priority="582" operator="lessThan">
      <formula>1.9</formula>
    </cfRule>
    <cfRule type="cellIs" dxfId="1193" priority="583" operator="greaterThan">
      <formula>1.9</formula>
    </cfRule>
  </conditionalFormatting>
  <conditionalFormatting sqref="L22">
    <cfRule type="cellIs" dxfId="1192" priority="580" operator="lessThan">
      <formula>3.9</formula>
    </cfRule>
    <cfRule type="cellIs" dxfId="1191" priority="581" operator="greaterThan">
      <formula>3.9</formula>
    </cfRule>
  </conditionalFormatting>
  <conditionalFormatting sqref="K12:K14">
    <cfRule type="cellIs" dxfId="1190" priority="578" operator="lessThan">
      <formula>3.9</formula>
    </cfRule>
    <cfRule type="cellIs" dxfId="1189" priority="579" operator="greaterThan">
      <formula>3.9</formula>
    </cfRule>
  </conditionalFormatting>
  <conditionalFormatting sqref="J12:J13">
    <cfRule type="cellIs" dxfId="1188" priority="576" operator="lessThan">
      <formula>3.9</formula>
    </cfRule>
    <cfRule type="cellIs" dxfId="1187" priority="577" operator="greaterThan">
      <formula>3.9</formula>
    </cfRule>
  </conditionalFormatting>
  <conditionalFormatting sqref="I12:I13">
    <cfRule type="cellIs" dxfId="1186" priority="574" operator="lessThan">
      <formula>3.9</formula>
    </cfRule>
    <cfRule type="cellIs" dxfId="1185" priority="575" operator="greaterThan">
      <formula>3.9</formula>
    </cfRule>
  </conditionalFormatting>
  <conditionalFormatting sqref="H12:H13">
    <cfRule type="cellIs" dxfId="1184" priority="572" operator="lessThan">
      <formula>3.9</formula>
    </cfRule>
    <cfRule type="cellIs" dxfId="1183" priority="573" operator="greaterThan">
      <formula>3.9</formula>
    </cfRule>
  </conditionalFormatting>
  <conditionalFormatting sqref="G12:G13">
    <cfRule type="cellIs" dxfId="1182" priority="570" operator="lessThan">
      <formula>3.9</formula>
    </cfRule>
    <cfRule type="cellIs" dxfId="1181" priority="571" operator="greaterThan">
      <formula>3.9</formula>
    </cfRule>
  </conditionalFormatting>
  <conditionalFormatting sqref="L24">
    <cfRule type="cellIs" dxfId="1180" priority="568" operator="lessThan">
      <formula>3.9</formula>
    </cfRule>
    <cfRule type="cellIs" dxfId="1179" priority="569" operator="greaterThan">
      <formula>3.9</formula>
    </cfRule>
  </conditionalFormatting>
  <conditionalFormatting sqref="L25">
    <cfRule type="cellIs" dxfId="1178" priority="566" operator="lessThan">
      <formula>2.9</formula>
    </cfRule>
    <cfRule type="cellIs" dxfId="1177" priority="567" operator="greaterThan">
      <formula>2.9</formula>
    </cfRule>
  </conditionalFormatting>
  <conditionalFormatting sqref="L27:L29">
    <cfRule type="cellIs" dxfId="1176" priority="564" operator="lessThan">
      <formula>4.9</formula>
    </cfRule>
    <cfRule type="cellIs" dxfId="1175" priority="565" operator="greaterThan">
      <formula>4.9</formula>
    </cfRule>
  </conditionalFormatting>
  <conditionalFormatting sqref="L30">
    <cfRule type="cellIs" dxfId="1174" priority="562" operator="lessThan">
      <formula>2.9</formula>
    </cfRule>
    <cfRule type="cellIs" dxfId="1173" priority="563" operator="greaterThan">
      <formula>2.9</formula>
    </cfRule>
  </conditionalFormatting>
  <conditionalFormatting sqref="L31">
    <cfRule type="cellIs" dxfId="1172" priority="560" operator="lessThan">
      <formula>2.9</formula>
    </cfRule>
    <cfRule type="cellIs" dxfId="1171" priority="561" operator="greaterThan">
      <formula>2.9</formula>
    </cfRule>
  </conditionalFormatting>
  <conditionalFormatting sqref="L32">
    <cfRule type="cellIs" dxfId="1170" priority="558" operator="lessThan">
      <formula>2.9</formula>
    </cfRule>
    <cfRule type="cellIs" dxfId="1169" priority="559" operator="greaterThan">
      <formula>2.9</formula>
    </cfRule>
  </conditionalFormatting>
  <conditionalFormatting sqref="L33">
    <cfRule type="cellIs" dxfId="1168" priority="556" operator="lessThan">
      <formula>2.9</formula>
    </cfRule>
    <cfRule type="cellIs" dxfId="1167" priority="557" operator="greaterThan">
      <formula>2.9</formula>
    </cfRule>
  </conditionalFormatting>
  <conditionalFormatting sqref="L34">
    <cfRule type="cellIs" dxfId="1166" priority="554" operator="lessThan">
      <formula>6.9</formula>
    </cfRule>
    <cfRule type="cellIs" dxfId="1165" priority="555" operator="greaterThan">
      <formula>6.9</formula>
    </cfRule>
  </conditionalFormatting>
  <conditionalFormatting sqref="L36">
    <cfRule type="cellIs" dxfId="1164" priority="551" operator="equal">
      <formula>2</formula>
    </cfRule>
    <cfRule type="cellIs" dxfId="1163" priority="552" operator="lessThan">
      <formula>2</formula>
    </cfRule>
    <cfRule type="cellIs" dxfId="1162" priority="553" operator="greaterThan">
      <formula>2</formula>
    </cfRule>
  </conditionalFormatting>
  <conditionalFormatting sqref="L37">
    <cfRule type="cellIs" dxfId="1161" priority="549" operator="lessThan">
      <formula>0.599</formula>
    </cfRule>
    <cfRule type="cellIs" dxfId="1160" priority="550" operator="greaterThan">
      <formula>0.599</formula>
    </cfRule>
  </conditionalFormatting>
  <conditionalFormatting sqref="L38">
    <cfRule type="cellIs" dxfId="1159" priority="547" operator="lessThan">
      <formula>0.499</formula>
    </cfRule>
    <cfRule type="cellIs" dxfId="1158" priority="548" operator="greaterThan">
      <formula>0.499</formula>
    </cfRule>
  </conditionalFormatting>
  <conditionalFormatting sqref="L39">
    <cfRule type="cellIs" dxfId="1157" priority="544" operator="equal">
      <formula>30</formula>
    </cfRule>
    <cfRule type="cellIs" dxfId="1156" priority="545" operator="greaterThan">
      <formula>30</formula>
    </cfRule>
    <cfRule type="cellIs" dxfId="1155" priority="546" operator="lessThan">
      <formula>30</formula>
    </cfRule>
  </conditionalFormatting>
  <conditionalFormatting sqref="L40">
    <cfRule type="cellIs" dxfId="1154" priority="542" operator="greaterThan">
      <formula>1.67</formula>
    </cfRule>
    <cfRule type="cellIs" dxfId="1153" priority="543" operator="lessThan">
      <formula>1.68</formula>
    </cfRule>
  </conditionalFormatting>
  <conditionalFormatting sqref="L41">
    <cfRule type="cellIs" dxfId="1152" priority="540" operator="lessThan">
      <formula>0.4</formula>
    </cfRule>
    <cfRule type="cellIs" dxfId="1151" priority="541" operator="greaterThan">
      <formula>0.399</formula>
    </cfRule>
  </conditionalFormatting>
  <conditionalFormatting sqref="L42">
    <cfRule type="cellIs" dxfId="1150" priority="537" operator="equal">
      <formula>0.8</formula>
    </cfRule>
    <cfRule type="cellIs" dxfId="1149" priority="538" operator="lessThan">
      <formula>0.8</formula>
    </cfRule>
    <cfRule type="cellIs" dxfId="1148" priority="539" operator="greaterThan">
      <formula>0.8</formula>
    </cfRule>
  </conditionalFormatting>
  <conditionalFormatting sqref="K43:L43">
    <cfRule type="cellIs" dxfId="1147" priority="535" operator="greaterThan">
      <formula>42</formula>
    </cfRule>
    <cfRule type="cellIs" dxfId="1146" priority="536" operator="lessThan">
      <formula>43</formula>
    </cfRule>
  </conditionalFormatting>
  <conditionalFormatting sqref="K44:L44">
    <cfRule type="cellIs" dxfId="1145" priority="533" operator="greaterThan">
      <formula>46</formula>
    </cfRule>
    <cfRule type="cellIs" dxfId="1144" priority="534" operator="lessThan">
      <formula>47</formula>
    </cfRule>
  </conditionalFormatting>
  <conditionalFormatting sqref="L46">
    <cfRule type="cellIs" dxfId="1143" priority="531" operator="lessThan">
      <formula>19</formula>
    </cfRule>
    <cfRule type="cellIs" dxfId="1142" priority="532" operator="greaterThan">
      <formula>18</formula>
    </cfRule>
  </conditionalFormatting>
  <conditionalFormatting sqref="L47">
    <cfRule type="cellIs" dxfId="1141" priority="529" operator="lessThan">
      <formula>45</formula>
    </cfRule>
    <cfRule type="cellIs" dxfId="1140" priority="530" operator="greaterThan">
      <formula>44</formula>
    </cfRule>
  </conditionalFormatting>
  <conditionalFormatting sqref="L48">
    <cfRule type="cellIs" dxfId="1139" priority="527" operator="lessThan">
      <formula>15</formula>
    </cfRule>
    <cfRule type="cellIs" dxfId="1138" priority="528" operator="greaterThan">
      <formula>14</formula>
    </cfRule>
  </conditionalFormatting>
  <conditionalFormatting sqref="L49">
    <cfRule type="cellIs" dxfId="1137" priority="525" operator="lessThan">
      <formula>44</formula>
    </cfRule>
    <cfRule type="cellIs" dxfId="1136" priority="526" operator="greaterThan">
      <formula>44</formula>
    </cfRule>
  </conditionalFormatting>
  <conditionalFormatting sqref="L52:L53">
    <cfRule type="cellIs" dxfId="1135" priority="523" operator="lessThan">
      <formula>240</formula>
    </cfRule>
    <cfRule type="cellIs" dxfId="1134" priority="524" operator="greaterThan">
      <formula>239</formula>
    </cfRule>
  </conditionalFormatting>
  <conditionalFormatting sqref="L56">
    <cfRule type="cellIs" dxfId="1133" priority="521" operator="lessThan">
      <formula>4.1</formula>
    </cfRule>
    <cfRule type="cellIs" dxfId="1132" priority="522" operator="greaterThan">
      <formula>4.09</formula>
    </cfRule>
  </conditionalFormatting>
  <conditionalFormatting sqref="L58:L59">
    <cfRule type="cellIs" dxfId="1131" priority="519" operator="lessThan">
      <formula>0.81</formula>
    </cfRule>
    <cfRule type="cellIs" dxfId="1130" priority="520" operator="greaterThan">
      <formula>0.8</formula>
    </cfRule>
  </conditionalFormatting>
  <conditionalFormatting sqref="K4:K7">
    <cfRule type="cellIs" dxfId="1129" priority="518" operator="lessThan">
      <formula>4</formula>
    </cfRule>
  </conditionalFormatting>
  <conditionalFormatting sqref="K4:K7">
    <cfRule type="cellIs" dxfId="1128" priority="517" operator="greaterThan">
      <formula>3.9</formula>
    </cfRule>
  </conditionalFormatting>
  <conditionalFormatting sqref="K8">
    <cfRule type="cellIs" dxfId="1127" priority="514" operator="greaterThan">
      <formula>1.9</formula>
    </cfRule>
    <cfRule type="cellIs" dxfId="1126" priority="516" operator="lessThan">
      <formula>2</formula>
    </cfRule>
  </conditionalFormatting>
  <conditionalFormatting sqref="K9:K10">
    <cfRule type="cellIs" dxfId="1125" priority="513" operator="greaterThan">
      <formula>2.9</formula>
    </cfRule>
    <cfRule type="cellIs" dxfId="1124" priority="515" operator="lessThan">
      <formula>3</formula>
    </cfRule>
  </conditionalFormatting>
  <conditionalFormatting sqref="I4:J7 F4:H6 E4:E5">
    <cfRule type="cellIs" dxfId="1123" priority="512" operator="lessThan">
      <formula>4</formula>
    </cfRule>
  </conditionalFormatting>
  <conditionalFormatting sqref="I4:J7 F4:H6 E4:E5">
    <cfRule type="cellIs" dxfId="1122" priority="511" operator="greaterThan">
      <formula>3.9</formula>
    </cfRule>
  </conditionalFormatting>
  <conditionalFormatting sqref="J8">
    <cfRule type="cellIs" dxfId="1121" priority="508" operator="greaterThan">
      <formula>1.9</formula>
    </cfRule>
    <cfRule type="cellIs" dxfId="1120" priority="510" operator="lessThan">
      <formula>2</formula>
    </cfRule>
  </conditionalFormatting>
  <conditionalFormatting sqref="J9:J10">
    <cfRule type="cellIs" dxfId="1119" priority="507" operator="greaterThan">
      <formula>2.9</formula>
    </cfRule>
    <cfRule type="cellIs" dxfId="1118" priority="509" operator="lessThan">
      <formula>3</formula>
    </cfRule>
  </conditionalFormatting>
  <conditionalFormatting sqref="F12">
    <cfRule type="cellIs" dxfId="1117" priority="505" operator="lessThan">
      <formula>2.9</formula>
    </cfRule>
    <cfRule type="cellIs" dxfId="1116" priority="506" operator="greaterThan">
      <formula>2.9</formula>
    </cfRule>
  </conditionalFormatting>
  <conditionalFormatting sqref="F13">
    <cfRule type="cellIs" dxfId="1115" priority="503" operator="lessThan">
      <formula>2.9</formula>
    </cfRule>
    <cfRule type="cellIs" dxfId="1114" priority="504" operator="greaterThan">
      <formula>2.9</formula>
    </cfRule>
  </conditionalFormatting>
  <conditionalFormatting sqref="K15">
    <cfRule type="cellIs" dxfId="1113" priority="501" operator="lessThan">
      <formula>2.9</formula>
    </cfRule>
    <cfRule type="cellIs" dxfId="1112" priority="502" operator="greaterThan">
      <formula>2.9</formula>
    </cfRule>
  </conditionalFormatting>
  <conditionalFormatting sqref="J14">
    <cfRule type="cellIs" dxfId="1111" priority="499" operator="lessThan">
      <formula>2.9</formula>
    </cfRule>
    <cfRule type="cellIs" dxfId="1110" priority="500" operator="greaterThan">
      <formula>2.9</formula>
    </cfRule>
  </conditionalFormatting>
  <conditionalFormatting sqref="I16:K16 J15 I14:I15 I17:J20 K17:K21">
    <cfRule type="cellIs" dxfId="1109" priority="497" operator="lessThan">
      <formula>1.9</formula>
    </cfRule>
    <cfRule type="cellIs" dxfId="1108" priority="498" operator="greaterThan">
      <formula>1.9</formula>
    </cfRule>
  </conditionalFormatting>
  <conditionalFormatting sqref="G14:H14">
    <cfRule type="cellIs" dxfId="1107" priority="495" operator="lessThan">
      <formula>1.9</formula>
    </cfRule>
    <cfRule type="cellIs" dxfId="1106" priority="496" operator="greaterThan">
      <formula>1.9</formula>
    </cfRule>
  </conditionalFormatting>
  <conditionalFormatting sqref="E6">
    <cfRule type="cellIs" dxfId="1105" priority="493" operator="lessThan">
      <formula>2.9</formula>
    </cfRule>
    <cfRule type="cellIs" dxfId="1104" priority="494" operator="greaterThan">
      <formula>2.9</formula>
    </cfRule>
  </conditionalFormatting>
  <conditionalFormatting sqref="K22">
    <cfRule type="cellIs" dxfId="1103" priority="491" operator="lessThan">
      <formula>2.9</formula>
    </cfRule>
    <cfRule type="cellIs" dxfId="1102" priority="492" operator="greaterThan">
      <formula>2.9</formula>
    </cfRule>
  </conditionalFormatting>
  <conditionalFormatting sqref="H7">
    <cfRule type="cellIs" dxfId="1101" priority="489" operator="lessThan">
      <formula>2.9</formula>
    </cfRule>
    <cfRule type="cellIs" dxfId="1100" priority="490" operator="greaterThan">
      <formula>2.9</formula>
    </cfRule>
  </conditionalFormatting>
  <conditionalFormatting sqref="I22:J22">
    <cfRule type="cellIs" dxfId="1099" priority="487" operator="lessThan">
      <formula>1.9</formula>
    </cfRule>
    <cfRule type="cellIs" dxfId="1098" priority="488" operator="greaterThan">
      <formula>1.9</formula>
    </cfRule>
  </conditionalFormatting>
  <conditionalFormatting sqref="E12:E13">
    <cfRule type="cellIs" dxfId="1097" priority="485" operator="lessThan">
      <formula>1.9</formula>
    </cfRule>
    <cfRule type="cellIs" dxfId="1096" priority="486" operator="greaterThan">
      <formula>1.9</formula>
    </cfRule>
  </conditionalFormatting>
  <conditionalFormatting sqref="G9:I10">
    <cfRule type="cellIs" dxfId="1095" priority="483" operator="lessThan">
      <formula>1.9</formula>
    </cfRule>
    <cfRule type="cellIs" dxfId="1094" priority="484" operator="greaterThan">
      <formula>1.9</formula>
    </cfRule>
  </conditionalFormatting>
  <conditionalFormatting sqref="G7">
    <cfRule type="cellIs" dxfId="1093" priority="481" operator="lessThan">
      <formula>1.9</formula>
    </cfRule>
    <cfRule type="cellIs" dxfId="1092" priority="482" operator="greaterThan">
      <formula>1.9</formula>
    </cfRule>
  </conditionalFormatting>
  <conditionalFormatting sqref="E8:I8 E9:F10 E7:F7">
    <cfRule type="cellIs" dxfId="1091" priority="479" operator="lessThan">
      <formula>1</formula>
    </cfRule>
    <cfRule type="cellIs" dxfId="1090" priority="480" operator="greaterThan">
      <formula>0.9</formula>
    </cfRule>
  </conditionalFormatting>
  <conditionalFormatting sqref="D4:D5">
    <cfRule type="cellIs" dxfId="1089" priority="477" operator="lessThan">
      <formula>2.9</formula>
    </cfRule>
    <cfRule type="cellIs" dxfId="1088" priority="478" operator="greaterThan">
      <formula>2.9</formula>
    </cfRule>
  </conditionalFormatting>
  <conditionalFormatting sqref="C12:D17">
    <cfRule type="cellIs" dxfId="1087" priority="475" operator="lessThan">
      <formula>1</formula>
    </cfRule>
    <cfRule type="cellIs" dxfId="1086" priority="476" operator="greaterThan">
      <formula>0.9</formula>
    </cfRule>
  </conditionalFormatting>
  <conditionalFormatting sqref="E14:E19">
    <cfRule type="cellIs" dxfId="1085" priority="473" operator="lessThan">
      <formula>1</formula>
    </cfRule>
    <cfRule type="cellIs" dxfId="1084" priority="474" operator="greaterThan">
      <formula>0.9</formula>
    </cfRule>
  </conditionalFormatting>
  <conditionalFormatting sqref="F14:F22">
    <cfRule type="cellIs" dxfId="1083" priority="471" operator="lessThan">
      <formula>1</formula>
    </cfRule>
    <cfRule type="cellIs" dxfId="1082" priority="472" operator="greaterThan">
      <formula>0.9</formula>
    </cfRule>
  </conditionalFormatting>
  <conditionalFormatting sqref="G15:G22">
    <cfRule type="cellIs" dxfId="1081" priority="469" operator="lessThan">
      <formula>1</formula>
    </cfRule>
    <cfRule type="cellIs" dxfId="1080" priority="470" operator="greaterThan">
      <formula>0.9</formula>
    </cfRule>
  </conditionalFormatting>
  <conditionalFormatting sqref="H15:H22 I21:J21">
    <cfRule type="cellIs" dxfId="1079" priority="467" operator="lessThan">
      <formula>1</formula>
    </cfRule>
    <cfRule type="cellIs" dxfId="1078" priority="468" operator="greaterThan">
      <formula>0.9</formula>
    </cfRule>
  </conditionalFormatting>
  <conditionalFormatting sqref="E20:E22 D18:D22">
    <cfRule type="cellIs" dxfId="1077" priority="466" operator="greaterThan">
      <formula>0</formula>
    </cfRule>
  </conditionalFormatting>
  <conditionalFormatting sqref="E20:E22 D18:D22">
    <cfRule type="cellIs" dxfId="1076" priority="465" operator="equal">
      <formula>0</formula>
    </cfRule>
  </conditionalFormatting>
  <conditionalFormatting sqref="C18:C22">
    <cfRule type="cellIs" dxfId="1075" priority="464" operator="greaterThan">
      <formula>0</formula>
    </cfRule>
  </conditionalFormatting>
  <conditionalFormatting sqref="C18:C22">
    <cfRule type="cellIs" dxfId="1074" priority="463" operator="equal">
      <formula>0</formula>
    </cfRule>
  </conditionalFormatting>
  <conditionalFormatting sqref="D9:D10">
    <cfRule type="cellIs" dxfId="1073" priority="461" operator="lessThan">
      <formula>1</formula>
    </cfRule>
    <cfRule type="cellIs" dxfId="1072" priority="462" operator="greaterThan">
      <formula>0.9</formula>
    </cfRule>
  </conditionalFormatting>
  <conditionalFormatting sqref="D24:D25 E25">
    <cfRule type="cellIs" dxfId="1071" priority="460" operator="greaterThan">
      <formula>0</formula>
    </cfRule>
  </conditionalFormatting>
  <conditionalFormatting sqref="D24:D25 E25">
    <cfRule type="cellIs" dxfId="1070" priority="459" operator="equal">
      <formula>0</formula>
    </cfRule>
  </conditionalFormatting>
  <conditionalFormatting sqref="E24">
    <cfRule type="cellIs" dxfId="1069" priority="457" operator="lessThan">
      <formula>1</formula>
    </cfRule>
    <cfRule type="cellIs" dxfId="1068" priority="458" operator="greaterThan">
      <formula>0.9</formula>
    </cfRule>
  </conditionalFormatting>
  <conditionalFormatting sqref="F24">
    <cfRule type="cellIs" dxfId="1067" priority="455" operator="lessThan">
      <formula>1.9</formula>
    </cfRule>
    <cfRule type="cellIs" dxfId="1066" priority="456" operator="greaterThan">
      <formula>1.9</formula>
    </cfRule>
  </conditionalFormatting>
  <conditionalFormatting sqref="G24:H25 I25:J25">
    <cfRule type="cellIs" dxfId="1065" priority="453" operator="lessThan">
      <formula>1.9</formula>
    </cfRule>
    <cfRule type="cellIs" dxfId="1064" priority="454" operator="greaterThan">
      <formula>1.9</formula>
    </cfRule>
  </conditionalFormatting>
  <conditionalFormatting sqref="C24">
    <cfRule type="cellIs" dxfId="1063" priority="452" operator="greaterThan">
      <formula>0</formula>
    </cfRule>
  </conditionalFormatting>
  <conditionalFormatting sqref="C24">
    <cfRule type="cellIs" dxfId="1062" priority="451" operator="equal">
      <formula>0</formula>
    </cfRule>
  </conditionalFormatting>
  <conditionalFormatting sqref="C25">
    <cfRule type="cellIs" dxfId="1061" priority="450" operator="greaterThan">
      <formula>0</formula>
    </cfRule>
  </conditionalFormatting>
  <conditionalFormatting sqref="C25">
    <cfRule type="cellIs" dxfId="1060" priority="449" operator="equal">
      <formula>0</formula>
    </cfRule>
  </conditionalFormatting>
  <conditionalFormatting sqref="I24">
    <cfRule type="cellIs" dxfId="1059" priority="447" operator="lessThan">
      <formula>2.9</formula>
    </cfRule>
    <cfRule type="cellIs" dxfId="1058" priority="448" operator="greaterThan">
      <formula>2.9</formula>
    </cfRule>
  </conditionalFormatting>
  <conditionalFormatting sqref="J24">
    <cfRule type="cellIs" dxfId="1057" priority="445" operator="lessThan">
      <formula>2.9</formula>
    </cfRule>
    <cfRule type="cellIs" dxfId="1056" priority="446" operator="greaterThan">
      <formula>2.9</formula>
    </cfRule>
  </conditionalFormatting>
  <conditionalFormatting sqref="K24">
    <cfRule type="cellIs" dxfId="1055" priority="443" operator="lessThan">
      <formula>2.9</formula>
    </cfRule>
    <cfRule type="cellIs" dxfId="1054" priority="444" operator="greaterThan">
      <formula>2.9</formula>
    </cfRule>
  </conditionalFormatting>
  <conditionalFormatting sqref="F25">
    <cfRule type="cellIs" dxfId="1053" priority="441" operator="lessThan">
      <formula>1</formula>
    </cfRule>
    <cfRule type="cellIs" dxfId="1052" priority="442" operator="greaterThan">
      <formula>0.9</formula>
    </cfRule>
  </conditionalFormatting>
  <conditionalFormatting sqref="K25">
    <cfRule type="cellIs" dxfId="1051" priority="439" operator="lessThan">
      <formula>2.9</formula>
    </cfRule>
    <cfRule type="cellIs" dxfId="1050" priority="440" operator="greaterThan">
      <formula>2.9</formula>
    </cfRule>
  </conditionalFormatting>
  <conditionalFormatting sqref="D27">
    <cfRule type="cellIs" dxfId="1049" priority="437" operator="lessThan">
      <formula>1</formula>
    </cfRule>
    <cfRule type="cellIs" dxfId="1048" priority="438" operator="greaterThan">
      <formula>0.9</formula>
    </cfRule>
  </conditionalFormatting>
  <conditionalFormatting sqref="D28">
    <cfRule type="cellIs" dxfId="1047" priority="435" operator="lessThan">
      <formula>1</formula>
    </cfRule>
    <cfRule type="cellIs" dxfId="1046" priority="436" operator="greaterThan">
      <formula>0.9</formula>
    </cfRule>
  </conditionalFormatting>
  <conditionalFormatting sqref="D29">
    <cfRule type="cellIs" dxfId="1045" priority="433" operator="lessThan">
      <formula>1</formula>
    </cfRule>
    <cfRule type="cellIs" dxfId="1044" priority="434" operator="greaterThan">
      <formula>0.9</formula>
    </cfRule>
  </conditionalFormatting>
  <conditionalFormatting sqref="E29">
    <cfRule type="cellIs" dxfId="1043" priority="431" operator="lessThan">
      <formula>1</formula>
    </cfRule>
    <cfRule type="cellIs" dxfId="1042" priority="432" operator="greaterThan">
      <formula>0.9</formula>
    </cfRule>
  </conditionalFormatting>
  <conditionalFormatting sqref="E28">
    <cfRule type="cellIs" dxfId="1041" priority="429" operator="lessThan">
      <formula>1</formula>
    </cfRule>
    <cfRule type="cellIs" dxfId="1040" priority="430" operator="greaterThan">
      <formula>0.9</formula>
    </cfRule>
  </conditionalFormatting>
  <conditionalFormatting sqref="E27">
    <cfRule type="cellIs" dxfId="1039" priority="427" operator="lessThan">
      <formula>1</formula>
    </cfRule>
    <cfRule type="cellIs" dxfId="1038" priority="428" operator="greaterThan">
      <formula>0.9</formula>
    </cfRule>
  </conditionalFormatting>
  <conditionalFormatting sqref="F27">
    <cfRule type="cellIs" dxfId="1037" priority="425" operator="lessThan">
      <formula>1</formula>
    </cfRule>
    <cfRule type="cellIs" dxfId="1036" priority="426" operator="greaterThan">
      <formula>0.9</formula>
    </cfRule>
  </conditionalFormatting>
  <conditionalFormatting sqref="F28">
    <cfRule type="cellIs" dxfId="1035" priority="423" operator="lessThan">
      <formula>1</formula>
    </cfRule>
    <cfRule type="cellIs" dxfId="1034" priority="424" operator="greaterThan">
      <formula>0.9</formula>
    </cfRule>
  </conditionalFormatting>
  <conditionalFormatting sqref="F29">
    <cfRule type="cellIs" dxfId="1033" priority="421" operator="lessThan">
      <formula>1</formula>
    </cfRule>
    <cfRule type="cellIs" dxfId="1032" priority="422" operator="greaterThan">
      <formula>0.9</formula>
    </cfRule>
  </conditionalFormatting>
  <conditionalFormatting sqref="F30">
    <cfRule type="cellIs" dxfId="1031" priority="419" operator="lessThan">
      <formula>1</formula>
    </cfRule>
    <cfRule type="cellIs" dxfId="1030" priority="420" operator="greaterThan">
      <formula>0.9</formula>
    </cfRule>
  </conditionalFormatting>
  <conditionalFormatting sqref="F31">
    <cfRule type="cellIs" dxfId="1029" priority="417" operator="lessThan">
      <formula>1</formula>
    </cfRule>
    <cfRule type="cellIs" dxfId="1028" priority="418" operator="greaterThan">
      <formula>0.9</formula>
    </cfRule>
  </conditionalFormatting>
  <conditionalFormatting sqref="F32">
    <cfRule type="cellIs" dxfId="1027" priority="415" operator="lessThan">
      <formula>1</formula>
    </cfRule>
    <cfRule type="cellIs" dxfId="1026" priority="416" operator="greaterThan">
      <formula>0.9</formula>
    </cfRule>
  </conditionalFormatting>
  <conditionalFormatting sqref="F33:F34">
    <cfRule type="cellIs" dxfId="1025" priority="413" operator="lessThan">
      <formula>1</formula>
    </cfRule>
    <cfRule type="cellIs" dxfId="1024" priority="414" operator="greaterThan">
      <formula>0.9</formula>
    </cfRule>
  </conditionalFormatting>
  <conditionalFormatting sqref="C27">
    <cfRule type="cellIs" dxfId="1023" priority="411" operator="lessThan">
      <formula>1</formula>
    </cfRule>
    <cfRule type="cellIs" dxfId="1022" priority="412" operator="greaterThan">
      <formula>0.9</formula>
    </cfRule>
  </conditionalFormatting>
  <conditionalFormatting sqref="C28">
    <cfRule type="cellIs" dxfId="1021" priority="409" operator="lessThan">
      <formula>1</formula>
    </cfRule>
    <cfRule type="cellIs" dxfId="1020" priority="410" operator="greaterThan">
      <formula>0.9</formula>
    </cfRule>
  </conditionalFormatting>
  <conditionalFormatting sqref="C29">
    <cfRule type="cellIs" dxfId="1019" priority="407" operator="lessThan">
      <formula>1</formula>
    </cfRule>
    <cfRule type="cellIs" dxfId="1018" priority="408" operator="greaterThan">
      <formula>0.9</formula>
    </cfRule>
  </conditionalFormatting>
  <conditionalFormatting sqref="C30:C34">
    <cfRule type="cellIs" dxfId="1017" priority="406" operator="greaterThan">
      <formula>0</formula>
    </cfRule>
  </conditionalFormatting>
  <conditionalFormatting sqref="C30:C34">
    <cfRule type="cellIs" dxfId="1016" priority="405" operator="equal">
      <formula>0</formula>
    </cfRule>
  </conditionalFormatting>
  <conditionalFormatting sqref="D30">
    <cfRule type="cellIs" dxfId="1015" priority="404" operator="greaterThan">
      <formula>0</formula>
    </cfRule>
  </conditionalFormatting>
  <conditionalFormatting sqref="D30">
    <cfRule type="cellIs" dxfId="1014" priority="403" operator="equal">
      <formula>0</formula>
    </cfRule>
  </conditionalFormatting>
  <conditionalFormatting sqref="D31">
    <cfRule type="cellIs" dxfId="1013" priority="402" operator="greaterThan">
      <formula>0</formula>
    </cfRule>
  </conditionalFormatting>
  <conditionalFormatting sqref="D31">
    <cfRule type="cellIs" dxfId="1012" priority="401" operator="equal">
      <formula>0</formula>
    </cfRule>
  </conditionalFormatting>
  <conditionalFormatting sqref="D32">
    <cfRule type="cellIs" dxfId="1011" priority="400" operator="greaterThan">
      <formula>0</formula>
    </cfRule>
  </conditionalFormatting>
  <conditionalFormatting sqref="D32">
    <cfRule type="cellIs" dxfId="1010" priority="399" operator="equal">
      <formula>0</formula>
    </cfRule>
  </conditionalFormatting>
  <conditionalFormatting sqref="D33">
    <cfRule type="cellIs" dxfId="1009" priority="398" operator="greaterThan">
      <formula>0</formula>
    </cfRule>
  </conditionalFormatting>
  <conditionalFormatting sqref="D33">
    <cfRule type="cellIs" dxfId="1008" priority="397" operator="equal">
      <formula>0</formula>
    </cfRule>
  </conditionalFormatting>
  <conditionalFormatting sqref="D34">
    <cfRule type="cellIs" dxfId="1007" priority="396" operator="greaterThan">
      <formula>0</formula>
    </cfRule>
  </conditionalFormatting>
  <conditionalFormatting sqref="D34">
    <cfRule type="cellIs" dxfId="1006" priority="395" operator="equal">
      <formula>0</formula>
    </cfRule>
  </conditionalFormatting>
  <conditionalFormatting sqref="E30">
    <cfRule type="cellIs" dxfId="1005" priority="394" operator="greaterThan">
      <formula>0</formula>
    </cfRule>
  </conditionalFormatting>
  <conditionalFormatting sqref="E30">
    <cfRule type="cellIs" dxfId="1004" priority="393" operator="equal">
      <formula>0</formula>
    </cfRule>
  </conditionalFormatting>
  <conditionalFormatting sqref="E31">
    <cfRule type="cellIs" dxfId="1003" priority="392" operator="greaterThan">
      <formula>0</formula>
    </cfRule>
  </conditionalFormatting>
  <conditionalFormatting sqref="E31">
    <cfRule type="cellIs" dxfId="1002" priority="391" operator="equal">
      <formula>0</formula>
    </cfRule>
  </conditionalFormatting>
  <conditionalFormatting sqref="E32">
    <cfRule type="cellIs" dxfId="1001" priority="390" operator="greaterThan">
      <formula>0</formula>
    </cfRule>
  </conditionalFormatting>
  <conditionalFormatting sqref="E32">
    <cfRule type="cellIs" dxfId="1000" priority="389" operator="equal">
      <formula>0</formula>
    </cfRule>
  </conditionalFormatting>
  <conditionalFormatting sqref="E33">
    <cfRule type="cellIs" dxfId="999" priority="388" operator="greaterThan">
      <formula>0</formula>
    </cfRule>
  </conditionalFormatting>
  <conditionalFormatting sqref="E33">
    <cfRule type="cellIs" dxfId="998" priority="387" operator="equal">
      <formula>0</formula>
    </cfRule>
  </conditionalFormatting>
  <conditionalFormatting sqref="E34">
    <cfRule type="cellIs" dxfId="997" priority="386" operator="greaterThan">
      <formula>0</formula>
    </cfRule>
  </conditionalFormatting>
  <conditionalFormatting sqref="E34">
    <cfRule type="cellIs" dxfId="996" priority="385" operator="equal">
      <formula>0</formula>
    </cfRule>
  </conditionalFormatting>
  <conditionalFormatting sqref="G27">
    <cfRule type="cellIs" dxfId="995" priority="383" operator="lessThan">
      <formula>1.9</formula>
    </cfRule>
    <cfRule type="cellIs" dxfId="994" priority="384" operator="greaterThan">
      <formula>1.9</formula>
    </cfRule>
  </conditionalFormatting>
  <conditionalFormatting sqref="G28">
    <cfRule type="cellIs" dxfId="993" priority="381" operator="lessThan">
      <formula>1.9</formula>
    </cfRule>
    <cfRule type="cellIs" dxfId="992" priority="382" operator="greaterThan">
      <formula>1.9</formula>
    </cfRule>
  </conditionalFormatting>
  <conditionalFormatting sqref="G29">
    <cfRule type="cellIs" dxfId="991" priority="379" operator="lessThan">
      <formula>1.9</formula>
    </cfRule>
    <cfRule type="cellIs" dxfId="990" priority="380" operator="greaterThan">
      <formula>1.9</formula>
    </cfRule>
  </conditionalFormatting>
  <conditionalFormatting sqref="G30">
    <cfRule type="cellIs" dxfId="989" priority="377" operator="lessThan">
      <formula>1.9</formula>
    </cfRule>
    <cfRule type="cellIs" dxfId="988" priority="378" operator="greaterThan">
      <formula>1.9</formula>
    </cfRule>
  </conditionalFormatting>
  <conditionalFormatting sqref="G31">
    <cfRule type="cellIs" dxfId="987" priority="375" operator="lessThan">
      <formula>1.9</formula>
    </cfRule>
    <cfRule type="cellIs" dxfId="986" priority="376" operator="greaterThan">
      <formula>1.9</formula>
    </cfRule>
  </conditionalFormatting>
  <conditionalFormatting sqref="G32">
    <cfRule type="cellIs" dxfId="985" priority="373" operator="lessThan">
      <formula>1.9</formula>
    </cfRule>
    <cfRule type="cellIs" dxfId="984" priority="374" operator="greaterThan">
      <formula>1.9</formula>
    </cfRule>
  </conditionalFormatting>
  <conditionalFormatting sqref="G33:G34">
    <cfRule type="cellIs" dxfId="983" priority="371" operator="lessThan">
      <formula>1.9</formula>
    </cfRule>
    <cfRule type="cellIs" dxfId="982" priority="372" operator="greaterThan">
      <formula>1.9</formula>
    </cfRule>
  </conditionalFormatting>
  <conditionalFormatting sqref="H27:H33">
    <cfRule type="cellIs" dxfId="981" priority="369" operator="lessThan">
      <formula>1.9</formula>
    </cfRule>
    <cfRule type="cellIs" dxfId="980" priority="370" operator="greaterThan">
      <formula>1.9</formula>
    </cfRule>
  </conditionalFormatting>
  <conditionalFormatting sqref="I30">
    <cfRule type="cellIs" dxfId="979" priority="367" operator="lessThan">
      <formula>1.9</formula>
    </cfRule>
    <cfRule type="cellIs" dxfId="978" priority="368" operator="greaterThan">
      <formula>1.9</formula>
    </cfRule>
  </conditionalFormatting>
  <conditionalFormatting sqref="I31">
    <cfRule type="cellIs" dxfId="977" priority="365" operator="lessThan">
      <formula>1.9</formula>
    </cfRule>
    <cfRule type="cellIs" dxfId="976" priority="366" operator="greaterThan">
      <formula>1.9</formula>
    </cfRule>
  </conditionalFormatting>
  <conditionalFormatting sqref="I32">
    <cfRule type="cellIs" dxfId="975" priority="363" operator="lessThan">
      <formula>1.9</formula>
    </cfRule>
    <cfRule type="cellIs" dxfId="974" priority="364" operator="greaterThan">
      <formula>1.9</formula>
    </cfRule>
  </conditionalFormatting>
  <conditionalFormatting sqref="I33">
    <cfRule type="cellIs" dxfId="973" priority="361" operator="lessThan">
      <formula>1.9</formula>
    </cfRule>
    <cfRule type="cellIs" dxfId="972" priority="362" operator="greaterThan">
      <formula>1.9</formula>
    </cfRule>
  </conditionalFormatting>
  <conditionalFormatting sqref="J27:J29">
    <cfRule type="cellIs" dxfId="971" priority="359" operator="lessThan">
      <formula>2.9</formula>
    </cfRule>
    <cfRule type="cellIs" dxfId="970" priority="360" operator="greaterThan">
      <formula>2.9</formula>
    </cfRule>
  </conditionalFormatting>
  <conditionalFormatting sqref="J30">
    <cfRule type="cellIs" dxfId="969" priority="357" operator="lessThan">
      <formula>1.9</formula>
    </cfRule>
    <cfRule type="cellIs" dxfId="968" priority="358" operator="greaterThan">
      <formula>1.9</formula>
    </cfRule>
  </conditionalFormatting>
  <conditionalFormatting sqref="J31">
    <cfRule type="cellIs" dxfId="967" priority="355" operator="lessThan">
      <formula>1.9</formula>
    </cfRule>
    <cfRule type="cellIs" dxfId="966" priority="356" operator="greaterThan">
      <formula>1.9</formula>
    </cfRule>
  </conditionalFormatting>
  <conditionalFormatting sqref="J32">
    <cfRule type="cellIs" dxfId="965" priority="353" operator="lessThan">
      <formula>1.9</formula>
    </cfRule>
    <cfRule type="cellIs" dxfId="964" priority="354" operator="greaterThan">
      <formula>1.9</formula>
    </cfRule>
  </conditionalFormatting>
  <conditionalFormatting sqref="J33">
    <cfRule type="cellIs" dxfId="963" priority="351" operator="lessThan">
      <formula>1.9</formula>
    </cfRule>
    <cfRule type="cellIs" dxfId="962" priority="352" operator="greaterThan">
      <formula>1.9</formula>
    </cfRule>
  </conditionalFormatting>
  <conditionalFormatting sqref="K27">
    <cfRule type="cellIs" dxfId="961" priority="349" operator="lessThan">
      <formula>3.9</formula>
    </cfRule>
    <cfRule type="cellIs" dxfId="960" priority="350" operator="greaterThan">
      <formula>3.9</formula>
    </cfRule>
  </conditionalFormatting>
  <conditionalFormatting sqref="K28">
    <cfRule type="cellIs" dxfId="959" priority="347" operator="lessThan">
      <formula>3.9</formula>
    </cfRule>
    <cfRule type="cellIs" dxfId="958" priority="348" operator="greaterThan">
      <formula>3.9</formula>
    </cfRule>
  </conditionalFormatting>
  <conditionalFormatting sqref="K29">
    <cfRule type="cellIs" dxfId="957" priority="345" operator="lessThan">
      <formula>3.9</formula>
    </cfRule>
    <cfRule type="cellIs" dxfId="956" priority="346" operator="greaterThan">
      <formula>3.9</formula>
    </cfRule>
  </conditionalFormatting>
  <conditionalFormatting sqref="K30">
    <cfRule type="cellIs" dxfId="955" priority="343" operator="lessThan">
      <formula>2.9</formula>
    </cfRule>
    <cfRule type="cellIs" dxfId="954" priority="344" operator="greaterThan">
      <formula>2.9</formula>
    </cfRule>
  </conditionalFormatting>
  <conditionalFormatting sqref="K31">
    <cfRule type="cellIs" dxfId="953" priority="341" operator="lessThan">
      <formula>2.9</formula>
    </cfRule>
    <cfRule type="cellIs" dxfId="952" priority="342" operator="greaterThan">
      <formula>2.9</formula>
    </cfRule>
  </conditionalFormatting>
  <conditionalFormatting sqref="K32">
    <cfRule type="cellIs" dxfId="951" priority="339" operator="lessThan">
      <formula>2.9</formula>
    </cfRule>
    <cfRule type="cellIs" dxfId="950" priority="340" operator="greaterThan">
      <formula>2.9</formula>
    </cfRule>
  </conditionalFormatting>
  <conditionalFormatting sqref="K33">
    <cfRule type="cellIs" dxfId="949" priority="337" operator="lessThan">
      <formula>2.9</formula>
    </cfRule>
    <cfRule type="cellIs" dxfId="948" priority="338" operator="greaterThan">
      <formula>2.9</formula>
    </cfRule>
  </conditionalFormatting>
  <conditionalFormatting sqref="I27:I29">
    <cfRule type="cellIs" dxfId="947" priority="335" operator="lessThan">
      <formula>2.9</formula>
    </cfRule>
    <cfRule type="cellIs" dxfId="946" priority="336" operator="greaterThan">
      <formula>2.9</formula>
    </cfRule>
  </conditionalFormatting>
  <conditionalFormatting sqref="K34">
    <cfRule type="cellIs" dxfId="945" priority="333" operator="lessThan">
      <formula>6.9</formula>
    </cfRule>
    <cfRule type="cellIs" dxfId="944" priority="334" operator="greaterThan">
      <formula>6.9</formula>
    </cfRule>
  </conditionalFormatting>
  <conditionalFormatting sqref="H34">
    <cfRule type="cellIs" dxfId="943" priority="331" operator="lessThan">
      <formula>3.9</formula>
    </cfRule>
    <cfRule type="cellIs" dxfId="942" priority="332" operator="greaterThan">
      <formula>3.9</formula>
    </cfRule>
  </conditionalFormatting>
  <conditionalFormatting sqref="I34">
    <cfRule type="cellIs" dxfId="941" priority="329" operator="lessThan">
      <formula>4.9</formula>
    </cfRule>
    <cfRule type="cellIs" dxfId="940" priority="330" operator="greaterThan">
      <formula>4.9</formula>
    </cfRule>
  </conditionalFormatting>
  <conditionalFormatting sqref="J34">
    <cfRule type="cellIs" dxfId="939" priority="327" operator="lessThan">
      <formula>6</formula>
    </cfRule>
    <cfRule type="cellIs" dxfId="938" priority="328" operator="greaterThan">
      <formula>5.9</formula>
    </cfRule>
  </conditionalFormatting>
  <conditionalFormatting sqref="K58:K59">
    <cfRule type="cellIs" dxfId="937" priority="324" operator="lessThan">
      <formula>0.76</formula>
    </cfRule>
    <cfRule type="cellIs" dxfId="936" priority="325" operator="greaterThan">
      <formula>0.75</formula>
    </cfRule>
    <cfRule type="cellIs" dxfId="935" priority="326" operator="greaterThan">
      <formula>75</formula>
    </cfRule>
  </conditionalFormatting>
  <conditionalFormatting sqref="H58:J59">
    <cfRule type="cellIs" dxfId="934" priority="322" operator="lessThan">
      <formula>0.71</formula>
    </cfRule>
    <cfRule type="cellIs" dxfId="933" priority="323" operator="greaterThan">
      <formula>0.7</formula>
    </cfRule>
  </conditionalFormatting>
  <conditionalFormatting sqref="F58:G59">
    <cfRule type="cellIs" dxfId="932" priority="320" operator="lessThan">
      <formula>0.66</formula>
    </cfRule>
    <cfRule type="cellIs" dxfId="931" priority="321" operator="greaterThan">
      <formula>0.65</formula>
    </cfRule>
  </conditionalFormatting>
  <conditionalFormatting sqref="E58:E59">
    <cfRule type="cellIs" dxfId="930" priority="318" operator="lessThan">
      <formula>0.61</formula>
    </cfRule>
    <cfRule type="cellIs" dxfId="929" priority="319" operator="greaterThan">
      <formula>0.6</formula>
    </cfRule>
  </conditionalFormatting>
  <conditionalFormatting sqref="C58:D59">
    <cfRule type="cellIs" dxfId="928" priority="316" operator="lessThan">
      <formula>0.51</formula>
    </cfRule>
    <cfRule type="cellIs" dxfId="927" priority="317" operator="greaterThan">
      <formula>0.5</formula>
    </cfRule>
  </conditionalFormatting>
  <conditionalFormatting sqref="K47">
    <cfRule type="cellIs" dxfId="926" priority="313" operator="greaterThan">
      <formula>39.9</formula>
    </cfRule>
    <cfRule type="cellIs" dxfId="925" priority="314" operator="lessThan">
      <formula>40</formula>
    </cfRule>
    <cfRule type="cellIs" dxfId="924" priority="315" operator="greaterThan">
      <formula>40</formula>
    </cfRule>
  </conditionalFormatting>
  <conditionalFormatting sqref="K48">
    <cfRule type="cellIs" dxfId="923" priority="311" operator="lessThan">
      <formula>9.9</formula>
    </cfRule>
    <cfRule type="cellIs" dxfId="922" priority="312" operator="greaterThan">
      <formula>9.9</formula>
    </cfRule>
  </conditionalFormatting>
  <conditionalFormatting sqref="K46">
    <cfRule type="cellIs" dxfId="921" priority="309" operator="lessThan">
      <formula>17.9</formula>
    </cfRule>
    <cfRule type="cellIs" dxfId="920" priority="310" operator="greaterThan">
      <formula>17.9</formula>
    </cfRule>
  </conditionalFormatting>
  <conditionalFormatting sqref="K49">
    <cfRule type="cellIs" dxfId="919" priority="307" operator="lessThan">
      <formula>39.9</formula>
    </cfRule>
    <cfRule type="cellIs" dxfId="918" priority="308" operator="greaterThan">
      <formula>39.9</formula>
    </cfRule>
  </conditionalFormatting>
  <conditionalFormatting sqref="K52:K53">
    <cfRule type="cellIs" dxfId="917" priority="305" operator="lessThan">
      <formula>215.9</formula>
    </cfRule>
    <cfRule type="cellIs" dxfId="916" priority="306" operator="greaterThan">
      <formula>215.9</formula>
    </cfRule>
  </conditionalFormatting>
  <conditionalFormatting sqref="K56">
    <cfRule type="cellIs" dxfId="915" priority="301" operator="lessThan">
      <formula>4.27</formula>
    </cfRule>
    <cfRule type="cellIs" dxfId="914" priority="302" operator="greaterThan">
      <formula>4.27</formula>
    </cfRule>
    <cfRule type="cellIs" dxfId="913" priority="303" operator="lessThan">
      <formula>4.28</formula>
    </cfRule>
    <cfRule type="cellIs" dxfId="912" priority="304" operator="greaterThan">
      <formula>4.28</formula>
    </cfRule>
  </conditionalFormatting>
  <conditionalFormatting sqref="I46:J46">
    <cfRule type="cellIs" dxfId="911" priority="297" operator="lessThan">
      <formula>16.9</formula>
    </cfRule>
    <cfRule type="cellIs" dxfId="910" priority="298" operator="greaterThan">
      <formula>16.9</formula>
    </cfRule>
    <cfRule type="cellIs" dxfId="909" priority="299" operator="greaterThan">
      <formula>16</formula>
    </cfRule>
    <cfRule type="cellIs" dxfId="908" priority="300" operator="greaterThan">
      <formula>16</formula>
    </cfRule>
  </conditionalFormatting>
  <conditionalFormatting sqref="J47">
    <cfRule type="cellIs" dxfId="907" priority="293" operator="lessThan">
      <formula>34.9</formula>
    </cfRule>
    <cfRule type="cellIs" dxfId="906" priority="294" operator="greaterThan">
      <formula>34.9</formula>
    </cfRule>
    <cfRule type="cellIs" dxfId="905" priority="295" operator="greaterThan">
      <formula>34.9</formula>
    </cfRule>
    <cfRule type="cellIs" dxfId="904" priority="296" operator="greaterThan">
      <formula>34.9</formula>
    </cfRule>
  </conditionalFormatting>
  <conditionalFormatting sqref="J48">
    <cfRule type="cellIs" dxfId="903" priority="291" operator="lessThan">
      <formula>7.9</formula>
    </cfRule>
    <cfRule type="cellIs" dxfId="902" priority="292" operator="greaterThan">
      <formula>7.9</formula>
    </cfRule>
  </conditionalFormatting>
  <conditionalFormatting sqref="J49">
    <cfRule type="cellIs" dxfId="901" priority="289" operator="lessThan">
      <formula>34.9</formula>
    </cfRule>
    <cfRule type="cellIs" dxfId="900" priority="290" operator="greaterThan">
      <formula>34.9</formula>
    </cfRule>
  </conditionalFormatting>
  <conditionalFormatting sqref="J52:J53">
    <cfRule type="cellIs" dxfId="899" priority="287" operator="lessThan">
      <formula>191.9</formula>
    </cfRule>
    <cfRule type="cellIs" dxfId="898" priority="288" operator="greaterThan">
      <formula>191</formula>
    </cfRule>
  </conditionalFormatting>
  <conditionalFormatting sqref="J56">
    <cfRule type="cellIs" dxfId="897" priority="283" operator="lessThan">
      <formula>4.391</formula>
    </cfRule>
    <cfRule type="cellIs" dxfId="896" priority="284" operator="greaterThan">
      <formula>4.39</formula>
    </cfRule>
    <cfRule type="cellIs" dxfId="895" priority="285" operator="lessThan">
      <formula>"4.39.1"</formula>
    </cfRule>
    <cfRule type="cellIs" dxfId="894" priority="286" operator="greaterThan">
      <formula>4.39</formula>
    </cfRule>
  </conditionalFormatting>
  <conditionalFormatting sqref="I47">
    <cfRule type="cellIs" dxfId="893" priority="281" operator="lessThan">
      <formula>30</formula>
    </cfRule>
    <cfRule type="cellIs" dxfId="892" priority="282" operator="greaterThan">
      <formula>29.9</formula>
    </cfRule>
  </conditionalFormatting>
  <conditionalFormatting sqref="I48">
    <cfRule type="cellIs" dxfId="891" priority="279" operator="lessThan">
      <formula>7</formula>
    </cfRule>
    <cfRule type="cellIs" dxfId="890" priority="280" operator="greaterThan">
      <formula>6.9</formula>
    </cfRule>
  </conditionalFormatting>
  <conditionalFormatting sqref="I49">
    <cfRule type="cellIs" dxfId="889" priority="277" operator="lessThan">
      <formula>30</formula>
    </cfRule>
    <cfRule type="cellIs" dxfId="888" priority="278" operator="greaterThan">
      <formula>29.9</formula>
    </cfRule>
  </conditionalFormatting>
  <conditionalFormatting sqref="I52:I53">
    <cfRule type="cellIs" dxfId="887" priority="275" operator="lessThan">
      <formula>168</formula>
    </cfRule>
    <cfRule type="cellIs" dxfId="886" priority="276" operator="greaterThan">
      <formula>167.9</formula>
    </cfRule>
  </conditionalFormatting>
  <conditionalFormatting sqref="I56">
    <cfRule type="cellIs" dxfId="885" priority="271" operator="greaterThan">
      <formula>4.49</formula>
    </cfRule>
    <cfRule type="cellIs" dxfId="884" priority="272" operator="lessThan">
      <formula>4.5</formula>
    </cfRule>
    <cfRule type="cellIs" dxfId="883" priority="273" operator="lessThan">
      <formula>4.49</formula>
    </cfRule>
    <cfRule type="cellIs" dxfId="882" priority="274" operator="lessThan">
      <formula>4.48</formula>
    </cfRule>
  </conditionalFormatting>
  <conditionalFormatting sqref="C46:H46">
    <cfRule type="cellIs" dxfId="881" priority="269" operator="lessThan">
      <formula>15</formula>
    </cfRule>
    <cfRule type="cellIs" dxfId="880" priority="270" operator="greaterThan">
      <formula>14</formula>
    </cfRule>
  </conditionalFormatting>
  <conditionalFormatting sqref="H47">
    <cfRule type="cellIs" dxfId="879" priority="267" operator="lessThan">
      <formula>25</formula>
    </cfRule>
    <cfRule type="cellIs" dxfId="878" priority="268" operator="greaterThan">
      <formula>24</formula>
    </cfRule>
  </conditionalFormatting>
  <conditionalFormatting sqref="H48">
    <cfRule type="cellIs" dxfId="877" priority="265" operator="lessThan">
      <formula>6</formula>
    </cfRule>
    <cfRule type="cellIs" dxfId="876" priority="266" operator="greaterThan">
      <formula>5</formula>
    </cfRule>
  </conditionalFormatting>
  <conditionalFormatting sqref="H49">
    <cfRule type="cellIs" dxfId="875" priority="263" operator="lessThan">
      <formula>25</formula>
    </cfRule>
    <cfRule type="cellIs" dxfId="874" priority="264" operator="greaterThan">
      <formula>24</formula>
    </cfRule>
  </conditionalFormatting>
  <conditionalFormatting sqref="H52:H53">
    <cfRule type="cellIs" dxfId="873" priority="261" operator="lessThan">
      <formula>144</formula>
    </cfRule>
    <cfRule type="cellIs" dxfId="872" priority="262" operator="greaterThan">
      <formula>143</formula>
    </cfRule>
  </conditionalFormatting>
  <conditionalFormatting sqref="H56">
    <cfRule type="cellIs" dxfId="871" priority="259" operator="greaterThan">
      <formula>4.59</formula>
    </cfRule>
    <cfRule type="cellIs" dxfId="870" priority="260" operator="lessThan">
      <formula>4.6</formula>
    </cfRule>
  </conditionalFormatting>
  <conditionalFormatting sqref="G47">
    <cfRule type="cellIs" dxfId="869" priority="257" operator="lessThan">
      <formula>20</formula>
    </cfRule>
    <cfRule type="cellIs" dxfId="868" priority="258" operator="greaterThan">
      <formula>19</formula>
    </cfRule>
  </conditionalFormatting>
  <conditionalFormatting sqref="G48">
    <cfRule type="cellIs" dxfId="867" priority="255" operator="lessThan">
      <formula>5</formula>
    </cfRule>
    <cfRule type="cellIs" dxfId="866" priority="256" operator="greaterThan">
      <formula>4</formula>
    </cfRule>
  </conditionalFormatting>
  <conditionalFormatting sqref="G49">
    <cfRule type="cellIs" dxfId="865" priority="253" operator="lessThan">
      <formula>20</formula>
    </cfRule>
    <cfRule type="cellIs" dxfId="864" priority="254" operator="greaterThan">
      <formula>19</formula>
    </cfRule>
  </conditionalFormatting>
  <conditionalFormatting sqref="G52:G53">
    <cfRule type="cellIs" dxfId="863" priority="251" operator="lessThan">
      <formula>120</formula>
    </cfRule>
    <cfRule type="cellIs" dxfId="862" priority="252" operator="greaterThan">
      <formula>119</formula>
    </cfRule>
  </conditionalFormatting>
  <conditionalFormatting sqref="G56">
    <cfRule type="cellIs" dxfId="861" priority="249" operator="greaterThan">
      <formula>4.75</formula>
    </cfRule>
    <cfRule type="cellIs" dxfId="860" priority="250" operator="lessThan">
      <formula>4.76</formula>
    </cfRule>
  </conditionalFormatting>
  <conditionalFormatting sqref="F47">
    <cfRule type="cellIs" dxfId="859" priority="247" operator="lessThan">
      <formula>15</formula>
    </cfRule>
    <cfRule type="cellIs" dxfId="858" priority="248" operator="greaterThan">
      <formula>14</formula>
    </cfRule>
  </conditionalFormatting>
  <conditionalFormatting sqref="F48">
    <cfRule type="cellIs" dxfId="857" priority="245" operator="lessThan">
      <formula>4</formula>
    </cfRule>
    <cfRule type="cellIs" dxfId="856" priority="246" operator="greaterThan">
      <formula>3</formula>
    </cfRule>
  </conditionalFormatting>
  <conditionalFormatting sqref="F49">
    <cfRule type="cellIs" dxfId="855" priority="243" operator="lessThan">
      <formula>15</formula>
    </cfRule>
    <cfRule type="cellIs" dxfId="854" priority="244" operator="greaterThan">
      <formula>14</formula>
    </cfRule>
  </conditionalFormatting>
  <conditionalFormatting sqref="F52:F53">
    <cfRule type="cellIs" dxfId="853" priority="241" operator="lessThan">
      <formula>96</formula>
    </cfRule>
    <cfRule type="cellIs" dxfId="852" priority="242" operator="greaterThan">
      <formula>95</formula>
    </cfRule>
  </conditionalFormatting>
  <conditionalFormatting sqref="F56">
    <cfRule type="cellIs" dxfId="851" priority="239" operator="greaterThan">
      <formula>5</formula>
    </cfRule>
    <cfRule type="cellIs" dxfId="850" priority="240" operator="lessThan">
      <formula>5.1</formula>
    </cfRule>
  </conditionalFormatting>
  <conditionalFormatting sqref="E47">
    <cfRule type="cellIs" dxfId="849" priority="237" operator="lessThan">
      <formula>10</formula>
    </cfRule>
    <cfRule type="cellIs" dxfId="848" priority="238" operator="greaterThan">
      <formula>9</formula>
    </cfRule>
  </conditionalFormatting>
  <conditionalFormatting sqref="E48">
    <cfRule type="cellIs" dxfId="847" priority="235" operator="lessThan">
      <formula>3</formula>
    </cfRule>
    <cfRule type="cellIs" dxfId="846" priority="236" operator="greaterThan">
      <formula>2</formula>
    </cfRule>
  </conditionalFormatting>
  <conditionalFormatting sqref="E49">
    <cfRule type="cellIs" dxfId="845" priority="233" operator="lessThan">
      <formula>10</formula>
    </cfRule>
    <cfRule type="cellIs" dxfId="844" priority="234" operator="greaterThan">
      <formula>9</formula>
    </cfRule>
  </conditionalFormatting>
  <conditionalFormatting sqref="E52:E53">
    <cfRule type="cellIs" dxfId="843" priority="231" operator="lessThan">
      <formula>72</formula>
    </cfRule>
    <cfRule type="cellIs" dxfId="842" priority="232" operator="greaterThan">
      <formula>71</formula>
    </cfRule>
  </conditionalFormatting>
  <conditionalFormatting sqref="E56">
    <cfRule type="cellIs" dxfId="841" priority="229" operator="greaterThan">
      <formula>5.5</formula>
    </cfRule>
    <cfRule type="cellIs" dxfId="840" priority="230" operator="lessThan">
      <formula>5.6</formula>
    </cfRule>
  </conditionalFormatting>
  <conditionalFormatting sqref="D47">
    <cfRule type="cellIs" dxfId="839" priority="227" operator="lessThan">
      <formula>5</formula>
    </cfRule>
    <cfRule type="cellIs" dxfId="838" priority="228" operator="greaterThan">
      <formula>4</formula>
    </cfRule>
  </conditionalFormatting>
  <conditionalFormatting sqref="D48">
    <cfRule type="cellIs" dxfId="837" priority="225" operator="lessThan">
      <formula>2</formula>
    </cfRule>
    <cfRule type="cellIs" dxfId="836" priority="226" operator="greaterThan">
      <formula>1</formula>
    </cfRule>
  </conditionalFormatting>
  <conditionalFormatting sqref="D49">
    <cfRule type="cellIs" dxfId="835" priority="223" operator="lessThan">
      <formula>5</formula>
    </cfRule>
    <cfRule type="cellIs" dxfId="834" priority="224" operator="greaterThan">
      <formula>4</formula>
    </cfRule>
  </conditionalFormatting>
  <conditionalFormatting sqref="D52:D53">
    <cfRule type="cellIs" dxfId="833" priority="221" operator="lessThan">
      <formula>48</formula>
    </cfRule>
    <cfRule type="cellIs" dxfId="832" priority="222" operator="greaterThan">
      <formula>47</formula>
    </cfRule>
  </conditionalFormatting>
  <conditionalFormatting sqref="D56">
    <cfRule type="cellIs" dxfId="831" priority="219" operator="greaterThan">
      <formula>5.75</formula>
    </cfRule>
    <cfRule type="cellIs" dxfId="830" priority="220" operator="lessThan">
      <formula>5.76</formula>
    </cfRule>
  </conditionalFormatting>
  <conditionalFormatting sqref="K36">
    <cfRule type="cellIs" dxfId="829" priority="215" operator="lessThan">
      <formula>4</formula>
    </cfRule>
    <cfRule type="cellIs" dxfId="828" priority="216" operator="lessThan">
      <formula>4.1</formula>
    </cfRule>
    <cfRule type="cellIs" dxfId="827" priority="217" operator="greaterThan">
      <formula>4</formula>
    </cfRule>
    <cfRule type="cellIs" dxfId="826" priority="218" operator="lessThan">
      <formula>4</formula>
    </cfRule>
  </conditionalFormatting>
  <conditionalFormatting sqref="K37">
    <cfRule type="cellIs" dxfId="825" priority="213" operator="lessThan">
      <formula>0.499</formula>
    </cfRule>
    <cfRule type="cellIs" dxfId="824" priority="214" operator="greaterThan">
      <formula>0.499</formula>
    </cfRule>
  </conditionalFormatting>
  <conditionalFormatting sqref="K38">
    <cfRule type="cellIs" dxfId="823" priority="211" operator="lessThan">
      <formula>0.449</formula>
    </cfRule>
    <cfRule type="cellIs" dxfId="822" priority="212" operator="greaterThan">
      <formula>0.449</formula>
    </cfRule>
  </conditionalFormatting>
  <conditionalFormatting sqref="K39">
    <cfRule type="cellIs" dxfId="821" priority="132" operator="greaterThan">
      <formula>31.99</formula>
    </cfRule>
    <cfRule type="cellIs" dxfId="820" priority="209" operator="lessThan">
      <formula>32.1</formula>
    </cfRule>
    <cfRule type="cellIs" dxfId="819" priority="210" operator="greaterThan">
      <formula>32</formula>
    </cfRule>
  </conditionalFormatting>
  <conditionalFormatting sqref="K40">
    <cfRule type="cellIs" dxfId="818" priority="207" operator="lessThan">
      <formula>1.78</formula>
    </cfRule>
    <cfRule type="cellIs" dxfId="817" priority="208" operator="greaterThan">
      <formula>1.77</formula>
    </cfRule>
  </conditionalFormatting>
  <conditionalFormatting sqref="K41">
    <cfRule type="cellIs" dxfId="816" priority="205" operator="lessThan">
      <formula>0.3499</formula>
    </cfRule>
    <cfRule type="cellIs" dxfId="815" priority="206" operator="greaterThan">
      <formula>0.3499</formula>
    </cfRule>
  </conditionalFormatting>
  <conditionalFormatting sqref="K42">
    <cfRule type="cellIs" dxfId="814" priority="203" operator="lessThan">
      <formula>0.7499</formula>
    </cfRule>
    <cfRule type="cellIs" dxfId="813" priority="204" operator="greaterThan">
      <formula>0.7499</formula>
    </cfRule>
  </conditionalFormatting>
  <conditionalFormatting sqref="J36">
    <cfRule type="cellIs" dxfId="812" priority="200" operator="lessThan">
      <formula>8</formula>
    </cfRule>
    <cfRule type="cellIs" dxfId="811" priority="201" operator="greaterThan">
      <formula>7.9</formula>
    </cfRule>
    <cfRule type="cellIs" dxfId="810" priority="202" operator="greaterThan">
      <formula>8</formula>
    </cfRule>
  </conditionalFormatting>
  <conditionalFormatting sqref="J37:J38 I38">
    <cfRule type="cellIs" dxfId="809" priority="198" operator="lessThan">
      <formula>0.4</formula>
    </cfRule>
    <cfRule type="cellIs" dxfId="808" priority="199" operator="greaterThan">
      <formula>0.3999</formula>
    </cfRule>
  </conditionalFormatting>
  <conditionalFormatting sqref="J39">
    <cfRule type="cellIs" dxfId="807" priority="130" operator="lessThan">
      <formula>34</formula>
    </cfRule>
    <cfRule type="cellIs" dxfId="806" priority="131" operator="greaterThan">
      <formula>33.9</formula>
    </cfRule>
    <cfRule type="cellIs" dxfId="805" priority="196" operator="lessThan">
      <formula>34.1</formula>
    </cfRule>
    <cfRule type="cellIs" dxfId="804" priority="197" operator="greaterThan">
      <formula>34</formula>
    </cfRule>
  </conditionalFormatting>
  <conditionalFormatting sqref="J40">
    <cfRule type="cellIs" dxfId="803" priority="193" operator="lessThan">
      <formula>1.88</formula>
    </cfRule>
    <cfRule type="cellIs" dxfId="802" priority="194" operator="lessThan">
      <formula>1.88</formula>
    </cfRule>
    <cfRule type="cellIs" dxfId="801" priority="195" operator="greaterThan">
      <formula>1.87</formula>
    </cfRule>
  </conditionalFormatting>
  <conditionalFormatting sqref="I40">
    <cfRule type="cellIs" dxfId="800" priority="191" operator="lessThan">
      <formula>2.01</formula>
    </cfRule>
    <cfRule type="cellIs" dxfId="799" priority="192" operator="greaterThan">
      <formula>2</formula>
    </cfRule>
  </conditionalFormatting>
  <conditionalFormatting sqref="C40:H40">
    <cfRule type="cellIs" dxfId="798" priority="188" operator="lessThan">
      <formula>2.08</formula>
    </cfRule>
    <cfRule type="cellIs" dxfId="797" priority="189" operator="lessThan">
      <formula>2.08</formula>
    </cfRule>
    <cfRule type="cellIs" dxfId="796" priority="190" operator="greaterThan">
      <formula>2.07</formula>
    </cfRule>
  </conditionalFormatting>
  <conditionalFormatting sqref="J44">
    <cfRule type="cellIs" dxfId="795" priority="186" operator="lessThan">
      <formula>49.1</formula>
    </cfRule>
    <cfRule type="cellIs" dxfId="794" priority="187" operator="greaterThan">
      <formula>49</formula>
    </cfRule>
  </conditionalFormatting>
  <conditionalFormatting sqref="J43">
    <cfRule type="cellIs" dxfId="793" priority="184" operator="lessThan">
      <formula>45.1</formula>
    </cfRule>
    <cfRule type="cellIs" dxfId="792" priority="185" operator="greaterThan">
      <formula>45</formula>
    </cfRule>
  </conditionalFormatting>
  <conditionalFormatting sqref="J42">
    <cfRule type="cellIs" dxfId="791" priority="181" operator="lessThan">
      <formula>0.6999</formula>
    </cfRule>
    <cfRule type="cellIs" dxfId="790" priority="182" operator="greaterThan">
      <formula>0.699</formula>
    </cfRule>
    <cfRule type="cellIs" dxfId="789" priority="183" operator="greaterThan">
      <formula>0.699</formula>
    </cfRule>
  </conditionalFormatting>
  <conditionalFormatting sqref="J41">
    <cfRule type="cellIs" dxfId="788" priority="179" operator="lessThan">
      <formula>0.2999</formula>
    </cfRule>
    <cfRule type="cellIs" dxfId="787" priority="180" operator="greaterThan">
      <formula>0.299</formula>
    </cfRule>
  </conditionalFormatting>
  <conditionalFormatting sqref="G37:I37 C38:H38">
    <cfRule type="cellIs" dxfId="786" priority="177" operator="lessThan">
      <formula>0.35</formula>
    </cfRule>
    <cfRule type="cellIs" dxfId="785" priority="178" operator="greaterThan">
      <formula>0.349</formula>
    </cfRule>
  </conditionalFormatting>
  <conditionalFormatting sqref="I36">
    <cfRule type="cellIs" dxfId="784" priority="173" operator="lessThan">
      <formula>10.1</formula>
    </cfRule>
    <cfRule type="cellIs" dxfId="783" priority="174" operator="greaterThan">
      <formula>10</formula>
    </cfRule>
    <cfRule type="cellIs" dxfId="782" priority="175" operator="lessThan">
      <formula>10</formula>
    </cfRule>
    <cfRule type="cellIs" dxfId="781" priority="176" operator="greaterThan">
      <formula>10</formula>
    </cfRule>
  </conditionalFormatting>
  <conditionalFormatting sqref="I39">
    <cfRule type="cellIs" dxfId="780" priority="128" operator="lessThan">
      <formula>37</formula>
    </cfRule>
    <cfRule type="cellIs" dxfId="779" priority="129" operator="greaterThan">
      <formula>36.9</formula>
    </cfRule>
    <cfRule type="cellIs" dxfId="778" priority="171" operator="lessThan">
      <formula>37.01</formula>
    </cfRule>
    <cfRule type="cellIs" dxfId="777" priority="172" operator="greaterThan">
      <formula>37.01</formula>
    </cfRule>
  </conditionalFormatting>
  <conditionalFormatting sqref="I41">
    <cfRule type="cellIs" dxfId="776" priority="169" operator="lessThan">
      <formula>0.249</formula>
    </cfRule>
    <cfRule type="cellIs" dxfId="775" priority="170" operator="greaterThan">
      <formula>0.249</formula>
    </cfRule>
  </conditionalFormatting>
  <conditionalFormatting sqref="I42">
    <cfRule type="cellIs" dxfId="774" priority="167" operator="lessThan">
      <formula>0.65</formula>
    </cfRule>
    <cfRule type="cellIs" dxfId="773" priority="168" operator="greaterThan">
      <formula>0.649</formula>
    </cfRule>
  </conditionalFormatting>
  <conditionalFormatting sqref="I43">
    <cfRule type="cellIs" dxfId="772" priority="114" operator="greaterThan">
      <formula>48.9</formula>
    </cfRule>
    <cfRule type="cellIs" dxfId="771" priority="115" operator="lessThan">
      <formula>49</formula>
    </cfRule>
    <cfRule type="cellIs" dxfId="770" priority="116" operator="lessThan">
      <formula>49</formula>
    </cfRule>
    <cfRule type="cellIs" dxfId="769" priority="117" operator="greaterThan">
      <formula>48.9</formula>
    </cfRule>
    <cfRule type="cellIs" dxfId="768" priority="165" operator="lessThan">
      <formula>47.1</formula>
    </cfRule>
    <cfRule type="cellIs" dxfId="767" priority="166" operator="greaterThan">
      <formula>47</formula>
    </cfRule>
  </conditionalFormatting>
  <conditionalFormatting sqref="I44">
    <cfRule type="cellIs" dxfId="766" priority="163" operator="lessThan">
      <formula>51.1</formula>
    </cfRule>
    <cfRule type="cellIs" dxfId="765" priority="164" operator="greaterThan">
      <formula>51</formula>
    </cfRule>
  </conditionalFormatting>
  <conditionalFormatting sqref="G39:H39">
    <cfRule type="cellIs" dxfId="764" priority="126" operator="lessThan">
      <formula>38</formula>
    </cfRule>
    <cfRule type="cellIs" dxfId="763" priority="127" operator="greaterThan">
      <formula>37.9</formula>
    </cfRule>
    <cfRule type="cellIs" dxfId="762" priority="161" operator="lessThan">
      <formula>38</formula>
    </cfRule>
    <cfRule type="cellIs" dxfId="761" priority="162" operator="greaterThan">
      <formula>37.9</formula>
    </cfRule>
  </conditionalFormatting>
  <conditionalFormatting sqref="G41:H41">
    <cfRule type="cellIs" dxfId="760" priority="159" operator="lessThan">
      <formula>0.25</formula>
    </cfRule>
    <cfRule type="cellIs" dxfId="759" priority="160" operator="greaterThan">
      <formula>0.249</formula>
    </cfRule>
  </conditionalFormatting>
  <conditionalFormatting sqref="F42:H42">
    <cfRule type="cellIs" dxfId="758" priority="157" operator="lessThan">
      <formula>0.6</formula>
    </cfRule>
    <cfRule type="cellIs" dxfId="757" priority="158" operator="greaterThan">
      <formula>0.599</formula>
    </cfRule>
  </conditionalFormatting>
  <conditionalFormatting sqref="G36">
    <cfRule type="cellIs" dxfId="756" priority="154" operator="lessThan">
      <formula>14</formula>
    </cfRule>
    <cfRule type="cellIs" dxfId="755" priority="155" operator="greaterThan">
      <formula>13.99</formula>
    </cfRule>
    <cfRule type="cellIs" dxfId="754" priority="156" operator="greaterThan">
      <formula>14</formula>
    </cfRule>
  </conditionalFormatting>
  <conditionalFormatting sqref="F36">
    <cfRule type="cellIs" dxfId="753" priority="152" operator="lessThan">
      <formula>16</formula>
    </cfRule>
    <cfRule type="cellIs" dxfId="752" priority="153" operator="greaterThan">
      <formula>15.9</formula>
    </cfRule>
  </conditionalFormatting>
  <conditionalFormatting sqref="E36">
    <cfRule type="cellIs" dxfId="751" priority="150" operator="lessThan">
      <formula>18</formula>
    </cfRule>
    <cfRule type="cellIs" dxfId="750" priority="151" operator="greaterThan">
      <formula>17.9</formula>
    </cfRule>
  </conditionalFormatting>
  <conditionalFormatting sqref="C36:D36">
    <cfRule type="cellIs" dxfId="749" priority="148" operator="lessThan">
      <formula>24</formula>
    </cfRule>
    <cfRule type="cellIs" dxfId="748" priority="149" operator="greaterThan">
      <formula>23.99</formula>
    </cfRule>
  </conditionalFormatting>
  <conditionalFormatting sqref="C37:F37">
    <cfRule type="cellIs" dxfId="747" priority="145" operator="greaterThan">
      <formula>0.249</formula>
    </cfRule>
    <cfRule type="cellIs" dxfId="746" priority="146" operator="lessThan">
      <formula>0.25</formula>
    </cfRule>
    <cfRule type="cellIs" dxfId="745" priority="147" operator="greaterThan">
      <formula>24.9</formula>
    </cfRule>
  </conditionalFormatting>
  <conditionalFormatting sqref="C39:F39">
    <cfRule type="cellIs" dxfId="744" priority="124" operator="lessThan">
      <formula>39.99</formula>
    </cfRule>
    <cfRule type="cellIs" dxfId="743" priority="125" operator="greaterThan">
      <formula>39.99</formula>
    </cfRule>
    <cfRule type="cellIs" dxfId="742" priority="143" operator="lessThan">
      <formula>40.1</formula>
    </cfRule>
    <cfRule type="cellIs" dxfId="741" priority="144" operator="greaterThan">
      <formula>40</formula>
    </cfRule>
  </conditionalFormatting>
  <conditionalFormatting sqref="C41:F41">
    <cfRule type="cellIs" dxfId="740" priority="141" operator="lessThan">
      <formula>0.15</formula>
    </cfRule>
    <cfRule type="cellIs" dxfId="739" priority="142" operator="greaterThan">
      <formula>0.149</formula>
    </cfRule>
  </conditionalFormatting>
  <conditionalFormatting sqref="D42:E42">
    <cfRule type="cellIs" dxfId="738" priority="139" operator="lessThan">
      <formula>0.5</formula>
    </cfRule>
    <cfRule type="cellIs" dxfId="737" priority="140" operator="greaterThan">
      <formula>0.499</formula>
    </cfRule>
  </conditionalFormatting>
  <conditionalFormatting sqref="C42">
    <cfRule type="cellIs" dxfId="736" priority="135" operator="lessThan">
      <formula>0.4</formula>
    </cfRule>
    <cfRule type="cellIs" dxfId="735" priority="136" operator="greaterThan">
      <formula>0.399</formula>
    </cfRule>
    <cfRule type="cellIs" dxfId="734" priority="137" operator="lessThan">
      <formula>0.4</formula>
    </cfRule>
    <cfRule type="cellIs" dxfId="733" priority="138" operator="greaterThan">
      <formula>0.499</formula>
    </cfRule>
  </conditionalFormatting>
  <conditionalFormatting sqref="C38:F38">
    <cfRule type="cellIs" dxfId="732" priority="133" operator="lessThan">
      <formula>0.3</formula>
    </cfRule>
    <cfRule type="cellIs" dxfId="731" priority="134" operator="greaterThan">
      <formula>0.299</formula>
    </cfRule>
  </conditionalFormatting>
  <conditionalFormatting sqref="C47:C49">
    <cfRule type="cellIs" dxfId="730" priority="122" operator="lessThan">
      <formula>1</formula>
    </cfRule>
    <cfRule type="cellIs" dxfId="729" priority="123" operator="greaterThan">
      <formula>0.9</formula>
    </cfRule>
  </conditionalFormatting>
  <conditionalFormatting sqref="C52:C53">
    <cfRule type="cellIs" dxfId="728" priority="120" operator="lessThan">
      <formula>24</formula>
    </cfRule>
    <cfRule type="cellIs" dxfId="727" priority="121" operator="greaterThan">
      <formula>23.9</formula>
    </cfRule>
  </conditionalFormatting>
  <conditionalFormatting sqref="C56">
    <cfRule type="cellIs" dxfId="726" priority="118" operator="lessThan">
      <formula>6</formula>
    </cfRule>
    <cfRule type="cellIs" dxfId="725" priority="119" operator="greaterThan">
      <formula>5.99</formula>
    </cfRule>
  </conditionalFormatting>
  <conditionalFormatting sqref="H43">
    <cfRule type="cellIs" dxfId="724" priority="112" operator="lessThan">
      <formula>49</formula>
    </cfRule>
    <cfRule type="cellIs" dxfId="723" priority="113" operator="greaterThan">
      <formula>48.9</formula>
    </cfRule>
  </conditionalFormatting>
  <conditionalFormatting sqref="G43">
    <cfRule type="cellIs" dxfId="722" priority="110" operator="lessThan">
      <formula>51</formula>
    </cfRule>
    <cfRule type="cellIs" dxfId="721" priority="111" operator="greaterThan">
      <formula>50.9</formula>
    </cfRule>
  </conditionalFormatting>
  <conditionalFormatting sqref="F43">
    <cfRule type="cellIs" dxfId="720" priority="108" operator="lessThan">
      <formula>53</formula>
    </cfRule>
    <cfRule type="cellIs" dxfId="719" priority="109" operator="greaterThan">
      <formula>52.9</formula>
    </cfRule>
  </conditionalFormatting>
  <conditionalFormatting sqref="E43">
    <cfRule type="cellIs" dxfId="718" priority="106" operator="lessThan">
      <formula>55</formula>
    </cfRule>
    <cfRule type="cellIs" dxfId="717" priority="107" operator="greaterThan">
      <formula>54.9</formula>
    </cfRule>
  </conditionalFormatting>
  <conditionalFormatting sqref="D43">
    <cfRule type="cellIs" dxfId="716" priority="104" operator="lessThan">
      <formula>57</formula>
    </cfRule>
    <cfRule type="cellIs" dxfId="715" priority="105" operator="greaterThan">
      <formula>56.9</formula>
    </cfRule>
  </conditionalFormatting>
  <conditionalFormatting sqref="C43">
    <cfRule type="cellIs" dxfId="714" priority="102" operator="lessThan">
      <formula>57</formula>
    </cfRule>
    <cfRule type="cellIs" dxfId="713" priority="103" operator="greaterThan">
      <formula>56.9</formula>
    </cfRule>
  </conditionalFormatting>
  <conditionalFormatting sqref="H44">
    <cfRule type="cellIs" dxfId="712" priority="100" operator="lessThan">
      <formula>53</formula>
    </cfRule>
    <cfRule type="cellIs" dxfId="711" priority="101" operator="greaterThan">
      <formula>52.9</formula>
    </cfRule>
  </conditionalFormatting>
  <conditionalFormatting sqref="G44">
    <cfRule type="cellIs" dxfId="710" priority="98" operator="lessThan">
      <formula>55</formula>
    </cfRule>
    <cfRule type="cellIs" dxfId="709" priority="99" operator="greaterThan">
      <formula>54.9</formula>
    </cfRule>
  </conditionalFormatting>
  <conditionalFormatting sqref="F44">
    <cfRule type="cellIs" dxfId="708" priority="96" operator="lessThan">
      <formula>57</formula>
    </cfRule>
    <cfRule type="cellIs" dxfId="707" priority="97" operator="greaterThan">
      <formula>56.9</formula>
    </cfRule>
  </conditionalFormatting>
  <conditionalFormatting sqref="E44">
    <cfRule type="cellIs" dxfId="706" priority="94" operator="lessThan">
      <formula>59</formula>
    </cfRule>
    <cfRule type="cellIs" dxfId="705" priority="95" operator="greaterThan">
      <formula>58.9</formula>
    </cfRule>
  </conditionalFormatting>
  <conditionalFormatting sqref="D44">
    <cfRule type="cellIs" dxfId="704" priority="92" operator="lessThan">
      <formula>61</formula>
    </cfRule>
    <cfRule type="cellIs" dxfId="703" priority="93" operator="greaterThan">
      <formula>60.9</formula>
    </cfRule>
  </conditionalFormatting>
  <conditionalFormatting sqref="C44">
    <cfRule type="cellIs" dxfId="702" priority="90" operator="lessThan">
      <formula>63</formula>
    </cfRule>
    <cfRule type="cellIs" dxfId="701" priority="91" operator="greaterThan">
      <formula>62.9</formula>
    </cfRule>
  </conditionalFormatting>
  <conditionalFormatting sqref="C50">
    <cfRule type="cellIs" dxfId="700" priority="88" operator="lessThanOrEqual">
      <formula>5</formula>
    </cfRule>
    <cfRule type="cellIs" dxfId="699" priority="89" operator="greaterThanOrEqual">
      <formula>5</formula>
    </cfRule>
  </conditionalFormatting>
  <conditionalFormatting sqref="D50">
    <cfRule type="cellIs" dxfId="698" priority="86" operator="greaterThanOrEqual">
      <formula>6</formula>
    </cfRule>
    <cfRule type="cellIs" dxfId="697" priority="87" operator="lessThan">
      <formula>6</formula>
    </cfRule>
  </conditionalFormatting>
  <conditionalFormatting sqref="E50">
    <cfRule type="cellIs" dxfId="696" priority="84" operator="greaterThanOrEqual">
      <formula>7</formula>
    </cfRule>
    <cfRule type="cellIs" dxfId="695" priority="85" operator="lessThan">
      <formula>7</formula>
    </cfRule>
  </conditionalFormatting>
  <conditionalFormatting sqref="F50">
    <cfRule type="cellIs" dxfId="694" priority="82" operator="lessThan">
      <formula>10</formula>
    </cfRule>
    <cfRule type="cellIs" dxfId="693" priority="83" operator="greaterThanOrEqual">
      <formula>10</formula>
    </cfRule>
  </conditionalFormatting>
  <conditionalFormatting sqref="G50">
    <cfRule type="cellIs" dxfId="692" priority="80" operator="lessThan">
      <formula>12</formula>
    </cfRule>
    <cfRule type="cellIs" dxfId="691" priority="81" operator="greaterThanOrEqual">
      <formula>12</formula>
    </cfRule>
  </conditionalFormatting>
  <conditionalFormatting sqref="H50">
    <cfRule type="cellIs" dxfId="690" priority="78" operator="lessThan">
      <formula>14</formula>
    </cfRule>
    <cfRule type="cellIs" dxfId="689" priority="79" operator="greaterThanOrEqual">
      <formula>14</formula>
    </cfRule>
  </conditionalFormatting>
  <conditionalFormatting sqref="I50">
    <cfRule type="cellIs" dxfId="688" priority="76" operator="lessThan">
      <formula>17</formula>
    </cfRule>
    <cfRule type="cellIs" dxfId="687" priority="77" operator="greaterThanOrEqual">
      <formula>17</formula>
    </cfRule>
  </conditionalFormatting>
  <conditionalFormatting sqref="J50">
    <cfRule type="cellIs" dxfId="686" priority="74" operator="lessThan">
      <formula>19</formula>
    </cfRule>
    <cfRule type="cellIs" dxfId="685" priority="75" operator="greaterThanOrEqual">
      <formula>19</formula>
    </cfRule>
  </conditionalFormatting>
  <conditionalFormatting sqref="K50">
    <cfRule type="cellIs" dxfId="684" priority="72" operator="lessThan">
      <formula>22</formula>
    </cfRule>
    <cfRule type="cellIs" dxfId="683" priority="73" operator="greaterThanOrEqual">
      <formula>22</formula>
    </cfRule>
  </conditionalFormatting>
  <conditionalFormatting sqref="L50">
    <cfRule type="cellIs" dxfId="682" priority="70" operator="lessThan">
      <formula>24</formula>
    </cfRule>
    <cfRule type="cellIs" dxfId="681" priority="71" operator="greaterThanOrEqual">
      <formula>24</formula>
    </cfRule>
  </conditionalFormatting>
  <conditionalFormatting sqref="C51">
    <cfRule type="cellIs" dxfId="680" priority="68" operator="lessThanOrEqual">
      <formula>5</formula>
    </cfRule>
    <cfRule type="cellIs" dxfId="679" priority="69" operator="greaterThanOrEqual">
      <formula>5</formula>
    </cfRule>
  </conditionalFormatting>
  <conditionalFormatting sqref="D51">
    <cfRule type="cellIs" dxfId="678" priority="66" operator="greaterThanOrEqual">
      <formula>6</formula>
    </cfRule>
    <cfRule type="cellIs" dxfId="677" priority="67" operator="lessThan">
      <formula>6</formula>
    </cfRule>
  </conditionalFormatting>
  <conditionalFormatting sqref="E51">
    <cfRule type="cellIs" dxfId="676" priority="64" operator="greaterThanOrEqual">
      <formula>7</formula>
    </cfRule>
    <cfRule type="cellIs" dxfId="675" priority="65" operator="lessThan">
      <formula>7</formula>
    </cfRule>
  </conditionalFormatting>
  <conditionalFormatting sqref="F51">
    <cfRule type="cellIs" dxfId="674" priority="62" operator="lessThan">
      <formula>10</formula>
    </cfRule>
    <cfRule type="cellIs" dxfId="673" priority="63" operator="greaterThanOrEqual">
      <formula>10</formula>
    </cfRule>
  </conditionalFormatting>
  <conditionalFormatting sqref="G51">
    <cfRule type="cellIs" dxfId="672" priority="60" operator="lessThan">
      <formula>12</formula>
    </cfRule>
    <cfRule type="cellIs" dxfId="671" priority="61" operator="greaterThanOrEqual">
      <formula>12</formula>
    </cfRule>
  </conditionalFormatting>
  <conditionalFormatting sqref="H51">
    <cfRule type="cellIs" dxfId="670" priority="58" operator="lessThan">
      <formula>14</formula>
    </cfRule>
    <cfRule type="cellIs" dxfId="669" priority="59" operator="greaterThanOrEqual">
      <formula>14</formula>
    </cfRule>
  </conditionalFormatting>
  <conditionalFormatting sqref="I51">
    <cfRule type="cellIs" dxfId="668" priority="56" operator="lessThan">
      <formula>17</formula>
    </cfRule>
    <cfRule type="cellIs" dxfId="667" priority="57" operator="greaterThanOrEqual">
      <formula>17</formula>
    </cfRule>
  </conditionalFormatting>
  <conditionalFormatting sqref="J51">
    <cfRule type="cellIs" dxfId="666" priority="54" operator="lessThan">
      <formula>19</formula>
    </cfRule>
    <cfRule type="cellIs" dxfId="665" priority="55" operator="greaterThanOrEqual">
      <formula>19</formula>
    </cfRule>
  </conditionalFormatting>
  <conditionalFormatting sqref="K51">
    <cfRule type="cellIs" dxfId="664" priority="52" operator="lessThan">
      <formula>22</formula>
    </cfRule>
    <cfRule type="cellIs" dxfId="663" priority="53" operator="greaterThanOrEqual">
      <formula>22</formula>
    </cfRule>
  </conditionalFormatting>
  <conditionalFormatting sqref="L51">
    <cfRule type="cellIs" dxfId="662" priority="50" operator="lessThan">
      <formula>24</formula>
    </cfRule>
    <cfRule type="cellIs" dxfId="661" priority="51" operator="greaterThanOrEqual">
      <formula>24</formula>
    </cfRule>
  </conditionalFormatting>
  <conditionalFormatting sqref="C54">
    <cfRule type="cellIs" dxfId="660" priority="39" operator="greaterThanOrEqual">
      <formula>0.08</formula>
    </cfRule>
    <cfRule type="cellIs" dxfId="659" priority="49" operator="lessThan">
      <formula>0.08</formula>
    </cfRule>
  </conditionalFormatting>
  <conditionalFormatting sqref="D54">
    <cfRule type="cellIs" dxfId="658" priority="38" operator="greaterThanOrEqual">
      <formula>0.1</formula>
    </cfRule>
    <cfRule type="cellIs" dxfId="657" priority="48" operator="lessThan">
      <formula>0.1</formula>
    </cfRule>
  </conditionalFormatting>
  <conditionalFormatting sqref="E54">
    <cfRule type="cellIs" dxfId="656" priority="37" operator="greaterThanOrEqual">
      <formula>1</formula>
    </cfRule>
    <cfRule type="cellIs" dxfId="655" priority="47" operator="lessThan">
      <formula>1</formula>
    </cfRule>
  </conditionalFormatting>
  <conditionalFormatting sqref="F54">
    <cfRule type="cellIs" dxfId="654" priority="36" operator="greaterThanOrEqual">
      <formula>1.02</formula>
    </cfRule>
    <cfRule type="cellIs" dxfId="653" priority="46" operator="lessThan">
      <formula>1.02</formula>
    </cfRule>
  </conditionalFormatting>
  <conditionalFormatting sqref="G54">
    <cfRule type="cellIs" dxfId="652" priority="35" operator="greaterThanOrEqual">
      <formula>1.04</formula>
    </cfRule>
    <cfRule type="cellIs" dxfId="651" priority="45" operator="lessThan">
      <formula>1.04</formula>
    </cfRule>
  </conditionalFormatting>
  <conditionalFormatting sqref="H54">
    <cfRule type="cellIs" dxfId="650" priority="34" operator="greaterThanOrEqual">
      <formula>1.06</formula>
    </cfRule>
    <cfRule type="cellIs" dxfId="649" priority="44" operator="lessThan">
      <formula>1.06</formula>
    </cfRule>
  </conditionalFormatting>
  <conditionalFormatting sqref="I54">
    <cfRule type="cellIs" dxfId="648" priority="33" operator="greaterThanOrEqual">
      <formula>1.08</formula>
    </cfRule>
    <cfRule type="cellIs" dxfId="647" priority="43" operator="lessThan">
      <formula>1.08</formula>
    </cfRule>
  </conditionalFormatting>
  <conditionalFormatting sqref="J54">
    <cfRule type="cellIs" dxfId="646" priority="32" operator="greaterThanOrEqual">
      <formula>1.1</formula>
    </cfRule>
    <cfRule type="cellIs" dxfId="645" priority="42" operator="lessThan">
      <formula>1.1</formula>
    </cfRule>
  </conditionalFormatting>
  <conditionalFormatting sqref="K54">
    <cfRule type="cellIs" dxfId="644" priority="31" operator="greaterThanOrEqual">
      <formula>2</formula>
    </cfRule>
    <cfRule type="cellIs" dxfId="643" priority="41" operator="lessThan">
      <formula>2</formula>
    </cfRule>
  </conditionalFormatting>
  <conditionalFormatting sqref="L54">
    <cfRule type="cellIs" dxfId="642" priority="30" operator="greaterThanOrEqual">
      <formula>2.04</formula>
    </cfRule>
    <cfRule type="cellIs" dxfId="641" priority="40" operator="lessThan">
      <formula>2.04</formula>
    </cfRule>
  </conditionalFormatting>
  <conditionalFormatting sqref="C55">
    <cfRule type="cellIs" dxfId="640" priority="26" operator="lessThan">
      <formula>3.08</formula>
    </cfRule>
    <cfRule type="cellIs" dxfId="639" priority="29" operator="greaterThanOrEqual">
      <formula>3.08</formula>
    </cfRule>
  </conditionalFormatting>
  <conditionalFormatting sqref="D55">
    <cfRule type="cellIs" dxfId="638" priority="25" operator="lessThan">
      <formula>4.02</formula>
    </cfRule>
    <cfRule type="cellIs" dxfId="637" priority="28" operator="greaterThanOrEqual">
      <formula>4.02</formula>
    </cfRule>
  </conditionalFormatting>
  <conditionalFormatting sqref="E55">
    <cfRule type="cellIs" dxfId="636" priority="24" operator="lessThan">
      <formula>4.08</formula>
    </cfRule>
    <cfRule type="cellIs" dxfId="635" priority="27" operator="greaterThanOrEqual">
      <formula>4.08</formula>
    </cfRule>
  </conditionalFormatting>
  <conditionalFormatting sqref="F55">
    <cfRule type="cellIs" dxfId="634" priority="22" operator="lessThan">
      <formula>5.02</formula>
    </cfRule>
    <cfRule type="cellIs" dxfId="633" priority="23" operator="greaterThanOrEqual">
      <formula>5.02</formula>
    </cfRule>
  </conditionalFormatting>
  <conditionalFormatting sqref="G55">
    <cfRule type="cellIs" dxfId="632" priority="19" operator="lessThan">
      <formula>5.08</formula>
    </cfRule>
    <cfRule type="cellIs" dxfId="631" priority="21" operator="greaterThanOrEqual">
      <formula>5.08</formula>
    </cfRule>
  </conditionalFormatting>
  <conditionalFormatting sqref="H55">
    <cfRule type="cellIs" dxfId="630" priority="10" operator="greaterThanOrEqual">
      <formula>6.02</formula>
    </cfRule>
    <cfRule type="cellIs" dxfId="629" priority="20" operator="lessThan">
      <formula>6.08</formula>
    </cfRule>
  </conditionalFormatting>
  <conditionalFormatting sqref="I55">
    <cfRule type="cellIs" dxfId="628" priority="17" operator="lessThan">
      <formula>6.08</formula>
    </cfRule>
    <cfRule type="cellIs" dxfId="627" priority="18" operator="greaterThanOrEqual">
      <formula>6.08</formula>
    </cfRule>
  </conditionalFormatting>
  <conditionalFormatting sqref="J55">
    <cfRule type="cellIs" dxfId="626" priority="15" operator="lessThan">
      <formula>7.02</formula>
    </cfRule>
    <cfRule type="cellIs" dxfId="625" priority="16" operator="greaterThanOrEqual">
      <formula>7.02</formula>
    </cfRule>
  </conditionalFormatting>
  <conditionalFormatting sqref="K55">
    <cfRule type="cellIs" dxfId="624" priority="13" operator="lessThan">
      <formula>7.08</formula>
    </cfRule>
    <cfRule type="cellIs" dxfId="623" priority="14" operator="greaterThanOrEqual">
      <formula>7.08</formula>
    </cfRule>
  </conditionalFormatting>
  <conditionalFormatting sqref="L55">
    <cfRule type="cellIs" dxfId="622" priority="11" operator="lessThan">
      <formula>8</formula>
    </cfRule>
    <cfRule type="cellIs" dxfId="621" priority="12" operator="greaterThanOrEqual">
      <formula>8</formula>
    </cfRule>
  </conditionalFormatting>
  <conditionalFormatting sqref="H36">
    <cfRule type="cellIs" dxfId="620" priority="8" operator="greaterThan">
      <formula>11.9</formula>
    </cfRule>
    <cfRule type="cellIs" dxfId="619" priority="9" operator="lessThan">
      <formula>12</formula>
    </cfRule>
  </conditionalFormatting>
  <conditionalFormatting sqref="I86">
    <cfRule type="cellIs" dxfId="618" priority="1" operator="lessThan">
      <formula>1</formula>
    </cfRule>
    <cfRule type="cellIs" dxfId="617" priority="2" operator="lessThan">
      <formula>0</formula>
    </cfRule>
    <cfRule type="cellIs" dxfId="616" priority="3" operator="lessThan">
      <formula>0</formula>
    </cfRule>
  </conditionalFormatting>
  <conditionalFormatting sqref="I79">
    <cfRule type="cellIs" dxfId="615" priority="5" operator="lessThan">
      <formula>1</formula>
    </cfRule>
    <cfRule type="cellIs" dxfId="614" priority="6" operator="lessThan">
      <formula>0</formula>
    </cfRule>
    <cfRule type="cellIs" dxfId="613" priority="7" operator="lessThan">
      <formula>0</formula>
    </cfRule>
  </conditionalFormatting>
  <conditionalFormatting sqref="I89:I90 I93:I94">
    <cfRule type="cellIs" dxfId="612" priority="4" operator="lessThan">
      <formula>1</formula>
    </cfRule>
  </conditionalFormatting>
  <printOptions gridLines="1"/>
  <pageMargins left="0.7" right="0.7" top="0.75" bottom="0.75" header="0.3" footer="0.3"/>
  <pageSetup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11"/>
  <sheetViews>
    <sheetView zoomScale="78" zoomScaleNormal="78" workbookViewId="0">
      <selection activeCell="C29" sqref="C29"/>
    </sheetView>
  </sheetViews>
  <sheetFormatPr defaultRowHeight="15" x14ac:dyDescent="0.25"/>
  <cols>
    <col min="1" max="1" width="36.5703125" customWidth="1"/>
    <col min="2" max="2" width="13.7109375" customWidth="1"/>
    <col min="3" max="4" width="14.85546875" customWidth="1"/>
    <col min="5" max="12" width="15.7109375" customWidth="1"/>
    <col min="13" max="13" width="2.85546875" style="29" customWidth="1"/>
    <col min="14" max="15" width="15.7109375" customWidth="1"/>
  </cols>
  <sheetData>
    <row r="1" spans="1:17" ht="36.75" customHeight="1" x14ac:dyDescent="0.25">
      <c r="A1" s="67" t="s">
        <v>62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7" x14ac:dyDescent="0.25">
      <c r="B2" s="1" t="s">
        <v>21</v>
      </c>
      <c r="C2" s="20" t="s">
        <v>131</v>
      </c>
      <c r="D2" s="20" t="s">
        <v>132</v>
      </c>
      <c r="E2" s="6" t="s">
        <v>133</v>
      </c>
      <c r="F2" s="6" t="s">
        <v>134</v>
      </c>
      <c r="G2" s="7" t="s">
        <v>135</v>
      </c>
      <c r="H2" s="7" t="s">
        <v>136</v>
      </c>
      <c r="I2" s="8" t="s">
        <v>137</v>
      </c>
      <c r="J2" s="8" t="s">
        <v>138</v>
      </c>
      <c r="K2" s="9" t="s">
        <v>139</v>
      </c>
      <c r="L2" s="23" t="s">
        <v>140</v>
      </c>
      <c r="M2" s="10"/>
      <c r="N2" s="71" t="s">
        <v>202</v>
      </c>
      <c r="O2" s="72"/>
      <c r="P2" s="21"/>
      <c r="Q2" s="21"/>
    </row>
    <row r="3" spans="1:17" ht="18.75" x14ac:dyDescent="0.3">
      <c r="A3" s="3" t="s">
        <v>0</v>
      </c>
      <c r="B3" s="30"/>
      <c r="C3" s="30"/>
      <c r="D3" s="29"/>
      <c r="E3" s="29"/>
      <c r="F3" s="29"/>
      <c r="G3" s="29"/>
      <c r="H3" s="29"/>
      <c r="I3" s="29"/>
      <c r="J3" s="29"/>
      <c r="K3" s="29"/>
      <c r="L3" s="29"/>
      <c r="N3" s="1" t="s">
        <v>141</v>
      </c>
      <c r="O3" s="21"/>
      <c r="P3" s="21"/>
      <c r="Q3" s="21"/>
    </row>
    <row r="4" spans="1:17" x14ac:dyDescent="0.25">
      <c r="A4" s="2" t="s">
        <v>1</v>
      </c>
      <c r="B4" s="2" t="s">
        <v>22</v>
      </c>
      <c r="C4" s="19">
        <f t="shared" ref="C4:C10" si="0">N4</f>
        <v>0</v>
      </c>
      <c r="D4" s="18">
        <f t="shared" ref="D4:D10" si="1">N4</f>
        <v>0</v>
      </c>
      <c r="E4" s="18">
        <f t="shared" ref="E4:E10" si="2">N4</f>
        <v>0</v>
      </c>
      <c r="F4" s="18">
        <f t="shared" ref="F4:F10" si="3">N4</f>
        <v>0</v>
      </c>
      <c r="G4" s="18">
        <f t="shared" ref="G4:G10" si="4">N4</f>
        <v>0</v>
      </c>
      <c r="H4" s="18">
        <f t="shared" ref="H4:H10" si="5">N4</f>
        <v>0</v>
      </c>
      <c r="I4" s="18">
        <f t="shared" ref="I4:I10" si="6">N4</f>
        <v>0</v>
      </c>
      <c r="J4" s="18">
        <f t="shared" ref="J4:J10" si="7">N4</f>
        <v>0</v>
      </c>
      <c r="K4" s="18">
        <f t="shared" ref="K4:K10" si="8">N4</f>
        <v>0</v>
      </c>
      <c r="L4" s="18">
        <f>N4</f>
        <v>0</v>
      </c>
      <c r="N4" s="18">
        <v>0</v>
      </c>
    </row>
    <row r="5" spans="1:17" x14ac:dyDescent="0.25">
      <c r="A5" s="2" t="s">
        <v>2</v>
      </c>
      <c r="B5" s="2" t="s">
        <v>22</v>
      </c>
      <c r="C5" s="19">
        <f t="shared" si="0"/>
        <v>0</v>
      </c>
      <c r="D5" s="18">
        <f t="shared" si="1"/>
        <v>0</v>
      </c>
      <c r="E5" s="18">
        <f t="shared" si="2"/>
        <v>0</v>
      </c>
      <c r="F5" s="18">
        <f t="shared" si="3"/>
        <v>0</v>
      </c>
      <c r="G5" s="18">
        <f t="shared" si="4"/>
        <v>0</v>
      </c>
      <c r="H5" s="18">
        <f t="shared" si="5"/>
        <v>0</v>
      </c>
      <c r="I5" s="18">
        <f t="shared" si="6"/>
        <v>0</v>
      </c>
      <c r="J5" s="18">
        <f t="shared" si="7"/>
        <v>0</v>
      </c>
      <c r="K5" s="18">
        <f t="shared" si="8"/>
        <v>0</v>
      </c>
      <c r="L5" s="18">
        <f t="shared" ref="L5:L10" si="9">N5</f>
        <v>0</v>
      </c>
      <c r="N5" s="18">
        <v>0</v>
      </c>
    </row>
    <row r="6" spans="1:17" x14ac:dyDescent="0.25">
      <c r="A6" s="2" t="s">
        <v>3</v>
      </c>
      <c r="B6" s="2" t="s">
        <v>22</v>
      </c>
      <c r="C6" s="19">
        <f t="shared" si="0"/>
        <v>0</v>
      </c>
      <c r="D6" s="19">
        <f t="shared" si="1"/>
        <v>0</v>
      </c>
      <c r="E6" s="18">
        <f t="shared" si="2"/>
        <v>0</v>
      </c>
      <c r="F6" s="18">
        <f t="shared" si="3"/>
        <v>0</v>
      </c>
      <c r="G6" s="18">
        <f t="shared" si="4"/>
        <v>0</v>
      </c>
      <c r="H6" s="18">
        <f t="shared" si="5"/>
        <v>0</v>
      </c>
      <c r="I6" s="18">
        <f t="shared" si="6"/>
        <v>0</v>
      </c>
      <c r="J6" s="18">
        <f t="shared" si="7"/>
        <v>0</v>
      </c>
      <c r="K6" s="18">
        <f t="shared" si="8"/>
        <v>0</v>
      </c>
      <c r="L6" s="18">
        <f t="shared" si="9"/>
        <v>0</v>
      </c>
      <c r="N6" s="18">
        <v>0</v>
      </c>
    </row>
    <row r="7" spans="1:17" x14ac:dyDescent="0.25">
      <c r="A7" s="2" t="s">
        <v>4</v>
      </c>
      <c r="B7" s="2" t="s">
        <v>22</v>
      </c>
      <c r="C7" s="19">
        <f t="shared" si="0"/>
        <v>0</v>
      </c>
      <c r="D7" s="19">
        <f t="shared" si="1"/>
        <v>0</v>
      </c>
      <c r="E7" s="18">
        <f t="shared" si="2"/>
        <v>0</v>
      </c>
      <c r="F7" s="18">
        <f t="shared" si="3"/>
        <v>0</v>
      </c>
      <c r="G7" s="18">
        <f t="shared" si="4"/>
        <v>0</v>
      </c>
      <c r="H7" s="18">
        <f t="shared" si="5"/>
        <v>0</v>
      </c>
      <c r="I7" s="18">
        <f t="shared" si="6"/>
        <v>0</v>
      </c>
      <c r="J7" s="18">
        <f t="shared" si="7"/>
        <v>0</v>
      </c>
      <c r="K7" s="18">
        <f t="shared" si="8"/>
        <v>0</v>
      </c>
      <c r="L7" s="18">
        <f t="shared" si="9"/>
        <v>0</v>
      </c>
      <c r="N7" s="18">
        <v>0</v>
      </c>
    </row>
    <row r="8" spans="1:17" x14ac:dyDescent="0.25">
      <c r="A8" s="2" t="s">
        <v>5</v>
      </c>
      <c r="B8" s="2" t="s">
        <v>22</v>
      </c>
      <c r="C8" s="19">
        <f t="shared" si="0"/>
        <v>0</v>
      </c>
      <c r="D8" s="19">
        <f t="shared" si="1"/>
        <v>0</v>
      </c>
      <c r="E8" s="18">
        <f t="shared" si="2"/>
        <v>0</v>
      </c>
      <c r="F8" s="18">
        <f t="shared" si="3"/>
        <v>0</v>
      </c>
      <c r="G8" s="18">
        <f t="shared" si="4"/>
        <v>0</v>
      </c>
      <c r="H8" s="18">
        <f t="shared" si="5"/>
        <v>0</v>
      </c>
      <c r="I8" s="18">
        <f t="shared" si="6"/>
        <v>0</v>
      </c>
      <c r="J8" s="18">
        <f t="shared" si="7"/>
        <v>0</v>
      </c>
      <c r="K8" s="18">
        <f t="shared" si="8"/>
        <v>0</v>
      </c>
      <c r="L8" s="18">
        <f t="shared" si="9"/>
        <v>0</v>
      </c>
      <c r="N8" s="18">
        <v>0</v>
      </c>
    </row>
    <row r="9" spans="1:17" x14ac:dyDescent="0.25">
      <c r="A9" s="2" t="s">
        <v>6</v>
      </c>
      <c r="B9" s="2" t="s">
        <v>1</v>
      </c>
      <c r="C9" s="19">
        <f t="shared" si="0"/>
        <v>0</v>
      </c>
      <c r="D9" s="19">
        <f t="shared" si="1"/>
        <v>0</v>
      </c>
      <c r="E9" s="18">
        <f t="shared" si="2"/>
        <v>0</v>
      </c>
      <c r="F9" s="18">
        <f t="shared" si="3"/>
        <v>0</v>
      </c>
      <c r="G9" s="18">
        <f t="shared" si="4"/>
        <v>0</v>
      </c>
      <c r="H9" s="18">
        <f t="shared" si="5"/>
        <v>0</v>
      </c>
      <c r="I9" s="18">
        <f t="shared" si="6"/>
        <v>0</v>
      </c>
      <c r="J9" s="18">
        <f t="shared" si="7"/>
        <v>0</v>
      </c>
      <c r="K9" s="18">
        <f t="shared" si="8"/>
        <v>0</v>
      </c>
      <c r="L9" s="18">
        <f t="shared" si="9"/>
        <v>0</v>
      </c>
      <c r="N9" s="18">
        <v>0</v>
      </c>
    </row>
    <row r="10" spans="1:17" x14ac:dyDescent="0.25">
      <c r="A10" s="2" t="s">
        <v>7</v>
      </c>
      <c r="B10" s="2" t="s">
        <v>2</v>
      </c>
      <c r="C10" s="19">
        <f t="shared" si="0"/>
        <v>0</v>
      </c>
      <c r="D10" s="19">
        <f t="shared" si="1"/>
        <v>0</v>
      </c>
      <c r="E10" s="18">
        <f t="shared" si="2"/>
        <v>0</v>
      </c>
      <c r="F10" s="18">
        <f t="shared" si="3"/>
        <v>0</v>
      </c>
      <c r="G10" s="18">
        <f t="shared" si="4"/>
        <v>0</v>
      </c>
      <c r="H10" s="18">
        <f t="shared" si="5"/>
        <v>0</v>
      </c>
      <c r="I10" s="18">
        <f t="shared" si="6"/>
        <v>0</v>
      </c>
      <c r="J10" s="18">
        <f t="shared" si="7"/>
        <v>0</v>
      </c>
      <c r="K10" s="18">
        <f t="shared" si="8"/>
        <v>0</v>
      </c>
      <c r="L10" s="18">
        <f t="shared" si="9"/>
        <v>0</v>
      </c>
      <c r="N10" s="18">
        <v>0</v>
      </c>
    </row>
    <row r="11" spans="1:17" ht="18.75" x14ac:dyDescent="0.3">
      <c r="A11" s="3" t="s">
        <v>8</v>
      </c>
      <c r="B11" s="1"/>
      <c r="C11" s="1"/>
      <c r="D11" s="18"/>
      <c r="J11" s="11"/>
      <c r="K11" s="11"/>
      <c r="L11" s="11"/>
      <c r="N11" s="18"/>
    </row>
    <row r="12" spans="1:17" x14ac:dyDescent="0.25">
      <c r="A12" s="2" t="s">
        <v>10</v>
      </c>
      <c r="B12" s="2" t="s">
        <v>2</v>
      </c>
      <c r="C12" s="18">
        <f t="shared" ref="C12:C22" si="10">N12</f>
        <v>0</v>
      </c>
      <c r="D12" s="18">
        <f t="shared" ref="D12:D22" si="11">N12</f>
        <v>0</v>
      </c>
      <c r="E12" s="18">
        <f t="shared" ref="E12:E22" si="12">N12</f>
        <v>0</v>
      </c>
      <c r="F12" s="18">
        <f t="shared" ref="F12:F22" si="13">N12</f>
        <v>0</v>
      </c>
      <c r="G12" s="18">
        <f t="shared" ref="G12:G22" si="14">N12</f>
        <v>0</v>
      </c>
      <c r="H12" s="18">
        <f t="shared" ref="H12:H22" si="15">N12</f>
        <v>0</v>
      </c>
      <c r="I12" s="18">
        <f t="shared" ref="I12:I22" si="16">N12</f>
        <v>0</v>
      </c>
      <c r="J12" s="18">
        <f t="shared" ref="J12:J22" si="17">N12</f>
        <v>0</v>
      </c>
      <c r="K12" s="18">
        <f t="shared" ref="K12:K22" si="18">N12</f>
        <v>0</v>
      </c>
      <c r="L12" s="18">
        <f t="shared" ref="L12:L22" si="19">N12</f>
        <v>0</v>
      </c>
      <c r="N12" s="18">
        <v>0</v>
      </c>
    </row>
    <row r="13" spans="1:17" x14ac:dyDescent="0.25">
      <c r="A13" s="2" t="s">
        <v>9</v>
      </c>
      <c r="B13" s="2" t="s">
        <v>2</v>
      </c>
      <c r="C13" s="18">
        <f t="shared" si="10"/>
        <v>0</v>
      </c>
      <c r="D13" s="18">
        <f t="shared" si="11"/>
        <v>0</v>
      </c>
      <c r="E13" s="18">
        <f t="shared" si="12"/>
        <v>0</v>
      </c>
      <c r="F13" s="18">
        <f t="shared" si="13"/>
        <v>0</v>
      </c>
      <c r="G13" s="18">
        <f t="shared" si="14"/>
        <v>0</v>
      </c>
      <c r="H13" s="18">
        <f t="shared" si="15"/>
        <v>0</v>
      </c>
      <c r="I13" s="18">
        <f t="shared" si="16"/>
        <v>0</v>
      </c>
      <c r="J13" s="18">
        <f t="shared" si="17"/>
        <v>0</v>
      </c>
      <c r="K13" s="18">
        <f t="shared" si="18"/>
        <v>0</v>
      </c>
      <c r="L13" s="18">
        <f t="shared" si="19"/>
        <v>0</v>
      </c>
      <c r="N13" s="18">
        <v>0</v>
      </c>
    </row>
    <row r="14" spans="1:17" x14ac:dyDescent="0.25">
      <c r="A14" s="2" t="s">
        <v>11</v>
      </c>
      <c r="B14" s="2" t="s">
        <v>72</v>
      </c>
      <c r="C14" s="18">
        <f t="shared" si="10"/>
        <v>0</v>
      </c>
      <c r="D14" s="18">
        <f t="shared" si="11"/>
        <v>0</v>
      </c>
      <c r="E14" s="18">
        <f t="shared" si="12"/>
        <v>0</v>
      </c>
      <c r="F14" s="18">
        <f t="shared" si="13"/>
        <v>0</v>
      </c>
      <c r="G14" s="18">
        <f t="shared" si="14"/>
        <v>0</v>
      </c>
      <c r="H14" s="18">
        <f t="shared" si="15"/>
        <v>0</v>
      </c>
      <c r="I14" s="18">
        <f t="shared" si="16"/>
        <v>0</v>
      </c>
      <c r="J14" s="18">
        <f t="shared" si="17"/>
        <v>0</v>
      </c>
      <c r="K14" s="18">
        <f t="shared" si="18"/>
        <v>0</v>
      </c>
      <c r="L14" s="18">
        <f t="shared" si="19"/>
        <v>0</v>
      </c>
      <c r="N14" s="18">
        <v>0</v>
      </c>
    </row>
    <row r="15" spans="1:17" x14ac:dyDescent="0.25">
      <c r="A15" s="2" t="s">
        <v>12</v>
      </c>
      <c r="B15" s="2" t="s">
        <v>23</v>
      </c>
      <c r="C15" s="18">
        <f t="shared" si="10"/>
        <v>0</v>
      </c>
      <c r="D15" s="18">
        <f t="shared" si="11"/>
        <v>0</v>
      </c>
      <c r="E15" s="18">
        <f t="shared" si="12"/>
        <v>0</v>
      </c>
      <c r="F15" s="18">
        <f t="shared" si="13"/>
        <v>0</v>
      </c>
      <c r="G15" s="18">
        <f t="shared" si="14"/>
        <v>0</v>
      </c>
      <c r="H15" s="18">
        <f t="shared" si="15"/>
        <v>0</v>
      </c>
      <c r="I15" s="18">
        <f t="shared" si="16"/>
        <v>0</v>
      </c>
      <c r="J15" s="18">
        <f t="shared" si="17"/>
        <v>0</v>
      </c>
      <c r="K15" s="18">
        <f t="shared" si="18"/>
        <v>0</v>
      </c>
      <c r="L15" s="18">
        <f t="shared" si="19"/>
        <v>0</v>
      </c>
      <c r="N15" s="18">
        <v>0</v>
      </c>
    </row>
    <row r="16" spans="1:17" x14ac:dyDescent="0.25">
      <c r="A16" s="2" t="s">
        <v>13</v>
      </c>
      <c r="B16" s="2" t="s">
        <v>23</v>
      </c>
      <c r="C16" s="18">
        <f t="shared" si="10"/>
        <v>0</v>
      </c>
      <c r="D16" s="18">
        <f t="shared" si="11"/>
        <v>0</v>
      </c>
      <c r="E16" s="18">
        <f t="shared" si="12"/>
        <v>0</v>
      </c>
      <c r="F16" s="18">
        <f t="shared" si="13"/>
        <v>0</v>
      </c>
      <c r="G16" s="18">
        <f t="shared" si="14"/>
        <v>0</v>
      </c>
      <c r="H16" s="18">
        <f t="shared" si="15"/>
        <v>0</v>
      </c>
      <c r="I16" s="18">
        <f t="shared" si="16"/>
        <v>0</v>
      </c>
      <c r="J16" s="18">
        <f t="shared" si="17"/>
        <v>0</v>
      </c>
      <c r="K16" s="18">
        <f t="shared" si="18"/>
        <v>0</v>
      </c>
      <c r="L16" s="18">
        <f t="shared" si="19"/>
        <v>0</v>
      </c>
      <c r="N16" s="18">
        <v>0</v>
      </c>
    </row>
    <row r="17" spans="1:14" x14ac:dyDescent="0.25">
      <c r="A17" s="2" t="s">
        <v>14</v>
      </c>
      <c r="B17" s="2" t="s">
        <v>23</v>
      </c>
      <c r="C17" s="18">
        <f t="shared" si="10"/>
        <v>0</v>
      </c>
      <c r="D17" s="18">
        <f t="shared" si="11"/>
        <v>0</v>
      </c>
      <c r="E17" s="18">
        <f t="shared" si="12"/>
        <v>0</v>
      </c>
      <c r="F17" s="18">
        <f t="shared" si="13"/>
        <v>0</v>
      </c>
      <c r="G17" s="18">
        <f t="shared" si="14"/>
        <v>0</v>
      </c>
      <c r="H17" s="18">
        <f t="shared" si="15"/>
        <v>0</v>
      </c>
      <c r="I17" s="18">
        <f t="shared" si="16"/>
        <v>0</v>
      </c>
      <c r="J17" s="18">
        <f t="shared" si="17"/>
        <v>0</v>
      </c>
      <c r="K17" s="18">
        <f t="shared" si="18"/>
        <v>0</v>
      </c>
      <c r="L17" s="18">
        <f t="shared" si="19"/>
        <v>0</v>
      </c>
      <c r="N17" s="18">
        <v>0</v>
      </c>
    </row>
    <row r="18" spans="1:14" x14ac:dyDescent="0.25">
      <c r="A18" s="2" t="s">
        <v>15</v>
      </c>
      <c r="B18" s="2" t="s">
        <v>6</v>
      </c>
      <c r="C18" s="19">
        <f t="shared" si="10"/>
        <v>0</v>
      </c>
      <c r="D18" s="19">
        <f t="shared" si="11"/>
        <v>0</v>
      </c>
      <c r="E18" s="18">
        <f t="shared" si="12"/>
        <v>0</v>
      </c>
      <c r="F18" s="18">
        <f t="shared" si="13"/>
        <v>0</v>
      </c>
      <c r="G18" s="18">
        <f t="shared" si="14"/>
        <v>0</v>
      </c>
      <c r="H18" s="18">
        <f t="shared" si="15"/>
        <v>0</v>
      </c>
      <c r="I18" s="18">
        <f t="shared" si="16"/>
        <v>0</v>
      </c>
      <c r="J18" s="18">
        <f t="shared" si="17"/>
        <v>0</v>
      </c>
      <c r="K18" s="18">
        <f t="shared" si="18"/>
        <v>0</v>
      </c>
      <c r="L18" s="18">
        <f t="shared" si="19"/>
        <v>0</v>
      </c>
      <c r="N18" s="18">
        <v>0</v>
      </c>
    </row>
    <row r="19" spans="1:14" x14ac:dyDescent="0.25">
      <c r="A19" s="2" t="s">
        <v>16</v>
      </c>
      <c r="B19" s="2" t="s">
        <v>6</v>
      </c>
      <c r="C19" s="19">
        <f t="shared" si="10"/>
        <v>0</v>
      </c>
      <c r="D19" s="19">
        <f t="shared" si="11"/>
        <v>0</v>
      </c>
      <c r="E19" s="18">
        <f t="shared" si="12"/>
        <v>0</v>
      </c>
      <c r="F19" s="18">
        <f t="shared" si="13"/>
        <v>0</v>
      </c>
      <c r="G19" s="18">
        <f t="shared" si="14"/>
        <v>0</v>
      </c>
      <c r="H19" s="18">
        <f t="shared" si="15"/>
        <v>0</v>
      </c>
      <c r="I19" s="18">
        <f t="shared" si="16"/>
        <v>0</v>
      </c>
      <c r="J19" s="18">
        <f t="shared" si="17"/>
        <v>0</v>
      </c>
      <c r="K19" s="18">
        <f t="shared" si="18"/>
        <v>0</v>
      </c>
      <c r="L19" s="18">
        <f t="shared" si="19"/>
        <v>0</v>
      </c>
      <c r="N19" s="18">
        <v>0</v>
      </c>
    </row>
    <row r="20" spans="1:14" x14ac:dyDescent="0.25">
      <c r="A20" s="2" t="s">
        <v>17</v>
      </c>
      <c r="B20" s="2" t="s">
        <v>6</v>
      </c>
      <c r="C20" s="19">
        <f t="shared" si="10"/>
        <v>0</v>
      </c>
      <c r="D20" s="19">
        <f t="shared" si="11"/>
        <v>0</v>
      </c>
      <c r="E20" s="19">
        <f t="shared" si="12"/>
        <v>0</v>
      </c>
      <c r="F20" s="18">
        <f t="shared" si="13"/>
        <v>0</v>
      </c>
      <c r="G20" s="18">
        <f t="shared" si="14"/>
        <v>0</v>
      </c>
      <c r="H20" s="18">
        <f t="shared" si="15"/>
        <v>0</v>
      </c>
      <c r="I20" s="18">
        <f t="shared" si="16"/>
        <v>0</v>
      </c>
      <c r="J20" s="18">
        <f t="shared" si="17"/>
        <v>0</v>
      </c>
      <c r="K20" s="18">
        <f t="shared" si="18"/>
        <v>0</v>
      </c>
      <c r="L20" s="18">
        <f t="shared" si="19"/>
        <v>0</v>
      </c>
      <c r="N20" s="18">
        <v>0</v>
      </c>
    </row>
    <row r="21" spans="1:14" x14ac:dyDescent="0.25">
      <c r="A21" s="2" t="s">
        <v>18</v>
      </c>
      <c r="B21" s="2" t="s">
        <v>24</v>
      </c>
      <c r="C21" s="19">
        <f t="shared" si="10"/>
        <v>0</v>
      </c>
      <c r="D21" s="19">
        <f t="shared" si="11"/>
        <v>0</v>
      </c>
      <c r="E21" s="19">
        <f t="shared" si="12"/>
        <v>0</v>
      </c>
      <c r="F21" s="18">
        <f t="shared" si="13"/>
        <v>0</v>
      </c>
      <c r="G21" s="18">
        <f t="shared" si="14"/>
        <v>0</v>
      </c>
      <c r="H21" s="18">
        <f t="shared" si="15"/>
        <v>0</v>
      </c>
      <c r="I21" s="18">
        <f t="shared" si="16"/>
        <v>0</v>
      </c>
      <c r="J21" s="18">
        <f t="shared" si="17"/>
        <v>0</v>
      </c>
      <c r="K21" s="18">
        <f t="shared" si="18"/>
        <v>0</v>
      </c>
      <c r="L21" s="18">
        <f t="shared" si="19"/>
        <v>0</v>
      </c>
      <c r="N21" s="18">
        <v>0</v>
      </c>
    </row>
    <row r="22" spans="1:14" x14ac:dyDescent="0.25">
      <c r="A22" s="2" t="s">
        <v>84</v>
      </c>
      <c r="B22" s="2" t="s">
        <v>23</v>
      </c>
      <c r="C22" s="19">
        <f t="shared" si="10"/>
        <v>0</v>
      </c>
      <c r="D22" s="19">
        <f t="shared" si="11"/>
        <v>0</v>
      </c>
      <c r="E22" s="19">
        <f t="shared" si="12"/>
        <v>0</v>
      </c>
      <c r="F22" s="18">
        <f t="shared" si="13"/>
        <v>0</v>
      </c>
      <c r="G22" s="18">
        <f t="shared" si="14"/>
        <v>0</v>
      </c>
      <c r="H22" s="18">
        <f t="shared" si="15"/>
        <v>0</v>
      </c>
      <c r="I22" s="18">
        <f t="shared" si="16"/>
        <v>0</v>
      </c>
      <c r="J22" s="18">
        <f t="shared" si="17"/>
        <v>0</v>
      </c>
      <c r="K22" s="18">
        <f t="shared" si="18"/>
        <v>0</v>
      </c>
      <c r="L22" s="18">
        <f t="shared" si="19"/>
        <v>0</v>
      </c>
      <c r="N22" s="18">
        <v>0</v>
      </c>
    </row>
    <row r="23" spans="1:14" ht="18.75" x14ac:dyDescent="0.3">
      <c r="A23" s="3" t="s">
        <v>19</v>
      </c>
      <c r="B23" s="1"/>
      <c r="C23" s="1"/>
      <c r="J23" s="11"/>
      <c r="K23" s="11"/>
      <c r="L23" s="11"/>
      <c r="N23" t="s">
        <v>142</v>
      </c>
    </row>
    <row r="24" spans="1:14" x14ac:dyDescent="0.25">
      <c r="A24" s="2" t="s">
        <v>11</v>
      </c>
      <c r="B24" s="2" t="s">
        <v>23</v>
      </c>
      <c r="C24" s="19">
        <f>N24</f>
        <v>0</v>
      </c>
      <c r="D24" s="19">
        <f>N24</f>
        <v>0</v>
      </c>
      <c r="E24" s="18">
        <f>N24</f>
        <v>0</v>
      </c>
      <c r="F24" s="18">
        <f>N24</f>
        <v>0</v>
      </c>
      <c r="G24" s="18">
        <f>N24</f>
        <v>0</v>
      </c>
      <c r="H24" s="18">
        <f>N24</f>
        <v>0</v>
      </c>
      <c r="I24" s="18">
        <f>N24</f>
        <v>0</v>
      </c>
      <c r="J24" s="18">
        <f>N24</f>
        <v>0</v>
      </c>
      <c r="K24" s="18">
        <f>N24</f>
        <v>0</v>
      </c>
      <c r="L24" s="18">
        <f>N24</f>
        <v>0</v>
      </c>
      <c r="N24" s="18">
        <v>0</v>
      </c>
    </row>
    <row r="25" spans="1:14" x14ac:dyDescent="0.25">
      <c r="A25" s="2" t="s">
        <v>20</v>
      </c>
      <c r="B25" s="2" t="s">
        <v>6</v>
      </c>
      <c r="C25" s="19">
        <f>N25</f>
        <v>0</v>
      </c>
      <c r="D25" s="19">
        <f>N25</f>
        <v>0</v>
      </c>
      <c r="E25" s="19">
        <f>N25</f>
        <v>0</v>
      </c>
      <c r="F25" s="18">
        <f>N25</f>
        <v>0</v>
      </c>
      <c r="G25" s="18">
        <f>N25</f>
        <v>0</v>
      </c>
      <c r="H25" s="18">
        <f>N25</f>
        <v>0</v>
      </c>
      <c r="I25" s="18">
        <f>N25</f>
        <v>0</v>
      </c>
      <c r="J25" s="18">
        <f>N25</f>
        <v>0</v>
      </c>
      <c r="K25" s="18">
        <f>N25</f>
        <v>0</v>
      </c>
      <c r="L25" s="18">
        <f>N25</f>
        <v>0</v>
      </c>
      <c r="N25" s="18">
        <v>0</v>
      </c>
    </row>
    <row r="26" spans="1:14" ht="18.75" x14ac:dyDescent="0.3">
      <c r="A26" s="3" t="s">
        <v>25</v>
      </c>
      <c r="J26" s="11"/>
      <c r="K26" s="11"/>
      <c r="L26" s="11"/>
    </row>
    <row r="27" spans="1:14" x14ac:dyDescent="0.25">
      <c r="A27" s="2" t="s">
        <v>26</v>
      </c>
      <c r="B27" s="2" t="s">
        <v>14</v>
      </c>
      <c r="C27" s="18">
        <f t="shared" ref="C27:C34" si="20">N27</f>
        <v>0</v>
      </c>
      <c r="D27" s="18">
        <f t="shared" ref="D27:D34" si="21">N27</f>
        <v>0</v>
      </c>
      <c r="E27" s="18">
        <f t="shared" ref="E27:E34" si="22">N27</f>
        <v>0</v>
      </c>
      <c r="F27" s="18">
        <f t="shared" ref="F27:F34" si="23">N27</f>
        <v>0</v>
      </c>
      <c r="G27" s="18">
        <f t="shared" ref="G27:G34" si="24">N27</f>
        <v>0</v>
      </c>
      <c r="H27" s="18">
        <f t="shared" ref="H27:H34" si="25">N27</f>
        <v>0</v>
      </c>
      <c r="I27" s="18">
        <f t="shared" ref="I27:I34" si="26">N27</f>
        <v>0</v>
      </c>
      <c r="J27" s="18">
        <f t="shared" ref="J27:J34" si="27">N27</f>
        <v>0</v>
      </c>
      <c r="K27" s="18">
        <f t="shared" ref="K27:K34" si="28">N27</f>
        <v>0</v>
      </c>
      <c r="L27" s="18">
        <f t="shared" ref="L27:L34" si="29">N27</f>
        <v>0</v>
      </c>
      <c r="N27" s="18">
        <v>0</v>
      </c>
    </row>
    <row r="28" spans="1:14" x14ac:dyDescent="0.25">
      <c r="A28" s="2" t="s">
        <v>27</v>
      </c>
      <c r="B28" s="2" t="s">
        <v>13</v>
      </c>
      <c r="C28" s="18">
        <f t="shared" si="20"/>
        <v>0</v>
      </c>
      <c r="D28" s="18">
        <f t="shared" si="21"/>
        <v>0</v>
      </c>
      <c r="E28" s="18">
        <f t="shared" si="22"/>
        <v>0</v>
      </c>
      <c r="F28" s="18">
        <f t="shared" si="23"/>
        <v>0</v>
      </c>
      <c r="G28" s="18">
        <f t="shared" si="24"/>
        <v>0</v>
      </c>
      <c r="H28" s="18">
        <f t="shared" si="25"/>
        <v>0</v>
      </c>
      <c r="I28" s="18">
        <f t="shared" si="26"/>
        <v>0</v>
      </c>
      <c r="J28" s="18">
        <f t="shared" si="27"/>
        <v>0</v>
      </c>
      <c r="K28" s="18">
        <f t="shared" si="28"/>
        <v>0</v>
      </c>
      <c r="L28" s="18">
        <f t="shared" si="29"/>
        <v>0</v>
      </c>
      <c r="N28" s="18">
        <v>0</v>
      </c>
    </row>
    <row r="29" spans="1:14" x14ac:dyDescent="0.25">
      <c r="A29" s="2" t="s">
        <v>28</v>
      </c>
      <c r="B29" s="2" t="s">
        <v>12</v>
      </c>
      <c r="C29" s="18">
        <f t="shared" si="20"/>
        <v>0</v>
      </c>
      <c r="D29" s="18">
        <f t="shared" si="21"/>
        <v>0</v>
      </c>
      <c r="E29" s="18">
        <f t="shared" si="22"/>
        <v>0</v>
      </c>
      <c r="F29" s="18">
        <f t="shared" si="23"/>
        <v>0</v>
      </c>
      <c r="G29" s="18">
        <f t="shared" si="24"/>
        <v>0</v>
      </c>
      <c r="H29" s="18">
        <f t="shared" si="25"/>
        <v>0</v>
      </c>
      <c r="I29" s="18">
        <f t="shared" si="26"/>
        <v>0</v>
      </c>
      <c r="J29" s="18">
        <f t="shared" si="27"/>
        <v>0</v>
      </c>
      <c r="K29" s="18">
        <f t="shared" si="28"/>
        <v>0</v>
      </c>
      <c r="L29" s="18">
        <f t="shared" si="29"/>
        <v>0</v>
      </c>
      <c r="N29" s="18">
        <v>0</v>
      </c>
    </row>
    <row r="30" spans="1:14" x14ac:dyDescent="0.25">
      <c r="A30" s="2" t="s">
        <v>29</v>
      </c>
      <c r="B30" s="2" t="s">
        <v>12</v>
      </c>
      <c r="C30" s="19">
        <f t="shared" si="20"/>
        <v>0</v>
      </c>
      <c r="D30" s="19">
        <f t="shared" si="21"/>
        <v>0</v>
      </c>
      <c r="E30" s="19">
        <f t="shared" si="22"/>
        <v>0</v>
      </c>
      <c r="F30" s="18">
        <f t="shared" si="23"/>
        <v>0</v>
      </c>
      <c r="G30" s="18">
        <f t="shared" si="24"/>
        <v>0</v>
      </c>
      <c r="H30" s="18">
        <f t="shared" si="25"/>
        <v>0</v>
      </c>
      <c r="I30" s="18">
        <f t="shared" si="26"/>
        <v>0</v>
      </c>
      <c r="J30" s="18">
        <f t="shared" si="27"/>
        <v>0</v>
      </c>
      <c r="K30" s="18">
        <f t="shared" si="28"/>
        <v>0</v>
      </c>
      <c r="L30" s="18">
        <f t="shared" si="29"/>
        <v>0</v>
      </c>
      <c r="N30" s="18">
        <v>0</v>
      </c>
    </row>
    <row r="31" spans="1:14" x14ac:dyDescent="0.25">
      <c r="A31" s="2" t="s">
        <v>30</v>
      </c>
      <c r="B31" s="2" t="s">
        <v>12</v>
      </c>
      <c r="C31" s="19">
        <f t="shared" si="20"/>
        <v>0</v>
      </c>
      <c r="D31" s="19">
        <f t="shared" si="21"/>
        <v>0</v>
      </c>
      <c r="E31" s="19">
        <f t="shared" si="22"/>
        <v>0</v>
      </c>
      <c r="F31" s="18">
        <f t="shared" si="23"/>
        <v>0</v>
      </c>
      <c r="G31" s="18">
        <f t="shared" si="24"/>
        <v>0</v>
      </c>
      <c r="H31" s="18">
        <f t="shared" si="25"/>
        <v>0</v>
      </c>
      <c r="I31" s="18">
        <f t="shared" si="26"/>
        <v>0</v>
      </c>
      <c r="J31" s="18">
        <f t="shared" si="27"/>
        <v>0</v>
      </c>
      <c r="K31" s="18">
        <f t="shared" si="28"/>
        <v>0</v>
      </c>
      <c r="L31" s="18">
        <f t="shared" si="29"/>
        <v>0</v>
      </c>
      <c r="N31" s="18">
        <v>0</v>
      </c>
    </row>
    <row r="32" spans="1:14" x14ac:dyDescent="0.25">
      <c r="A32" s="2" t="s">
        <v>31</v>
      </c>
      <c r="B32" s="2" t="s">
        <v>11</v>
      </c>
      <c r="C32" s="19">
        <f t="shared" si="20"/>
        <v>0</v>
      </c>
      <c r="D32" s="19">
        <f t="shared" si="21"/>
        <v>0</v>
      </c>
      <c r="E32" s="19">
        <f t="shared" si="22"/>
        <v>0</v>
      </c>
      <c r="F32" s="18">
        <f t="shared" si="23"/>
        <v>0</v>
      </c>
      <c r="G32" s="18">
        <f t="shared" si="24"/>
        <v>0</v>
      </c>
      <c r="H32" s="18">
        <f t="shared" si="25"/>
        <v>0</v>
      </c>
      <c r="I32" s="18">
        <f t="shared" si="26"/>
        <v>0</v>
      </c>
      <c r="J32" s="18">
        <f t="shared" si="27"/>
        <v>0</v>
      </c>
      <c r="K32" s="18">
        <f t="shared" si="28"/>
        <v>0</v>
      </c>
      <c r="L32" s="18">
        <f t="shared" si="29"/>
        <v>0</v>
      </c>
      <c r="N32" s="18">
        <v>0</v>
      </c>
    </row>
    <row r="33" spans="1:14" x14ac:dyDescent="0.25">
      <c r="A33" s="2" t="s">
        <v>32</v>
      </c>
      <c r="B33" s="2" t="s">
        <v>11</v>
      </c>
      <c r="C33" s="19">
        <f t="shared" si="20"/>
        <v>0</v>
      </c>
      <c r="D33" s="19">
        <f t="shared" si="21"/>
        <v>0</v>
      </c>
      <c r="E33" s="19">
        <f t="shared" si="22"/>
        <v>0</v>
      </c>
      <c r="F33" s="18">
        <f t="shared" si="23"/>
        <v>0</v>
      </c>
      <c r="G33" s="18">
        <f t="shared" si="24"/>
        <v>0</v>
      </c>
      <c r="H33" s="18">
        <f t="shared" si="25"/>
        <v>0</v>
      </c>
      <c r="I33" s="18">
        <f t="shared" si="26"/>
        <v>0</v>
      </c>
      <c r="J33" s="18">
        <f t="shared" si="27"/>
        <v>0</v>
      </c>
      <c r="K33" s="18">
        <f t="shared" si="28"/>
        <v>0</v>
      </c>
      <c r="L33" s="18">
        <f t="shared" si="29"/>
        <v>0</v>
      </c>
      <c r="N33" s="18">
        <v>0</v>
      </c>
    </row>
    <row r="34" spans="1:14" x14ac:dyDescent="0.25">
      <c r="A34" s="2" t="s">
        <v>33</v>
      </c>
      <c r="B34" s="2" t="s">
        <v>12</v>
      </c>
      <c r="C34" s="19">
        <f t="shared" si="20"/>
        <v>0</v>
      </c>
      <c r="D34" s="19">
        <f t="shared" si="21"/>
        <v>0</v>
      </c>
      <c r="E34" s="19">
        <f t="shared" si="22"/>
        <v>0</v>
      </c>
      <c r="F34" s="18">
        <f t="shared" si="23"/>
        <v>0</v>
      </c>
      <c r="G34" s="18">
        <f t="shared" si="24"/>
        <v>0</v>
      </c>
      <c r="H34" s="18">
        <f t="shared" si="25"/>
        <v>0</v>
      </c>
      <c r="I34" s="18">
        <f t="shared" si="26"/>
        <v>0</v>
      </c>
      <c r="J34" s="18">
        <f t="shared" si="27"/>
        <v>0</v>
      </c>
      <c r="K34" s="18">
        <f t="shared" si="28"/>
        <v>0</v>
      </c>
      <c r="L34" s="18">
        <f t="shared" si="29"/>
        <v>0</v>
      </c>
      <c r="N34" s="18">
        <v>0</v>
      </c>
    </row>
    <row r="35" spans="1:14" ht="18.75" x14ac:dyDescent="0.3">
      <c r="A35" s="3" t="s">
        <v>34</v>
      </c>
      <c r="J35" s="10"/>
      <c r="K35" s="11"/>
      <c r="L35" s="11"/>
    </row>
    <row r="36" spans="1:14" x14ac:dyDescent="0.25">
      <c r="A36" s="2" t="s">
        <v>35</v>
      </c>
      <c r="B36" s="2" t="s">
        <v>36</v>
      </c>
      <c r="C36" s="18">
        <f t="shared" ref="C36:C44" si="30">N36</f>
        <v>0</v>
      </c>
      <c r="D36" s="18">
        <f t="shared" ref="D36:D44" si="31">N36</f>
        <v>0</v>
      </c>
      <c r="E36" s="18">
        <f t="shared" ref="E36:E44" si="32">N36</f>
        <v>0</v>
      </c>
      <c r="F36" s="18">
        <f t="shared" ref="F36:F44" si="33">N36</f>
        <v>0</v>
      </c>
      <c r="G36" s="18">
        <f t="shared" ref="G36:G44" si="34">N36</f>
        <v>0</v>
      </c>
      <c r="H36" s="18">
        <f t="shared" ref="H36:H44" si="35">N36</f>
        <v>0</v>
      </c>
      <c r="I36" s="18">
        <f t="shared" ref="I36:I44" si="36">N36</f>
        <v>0</v>
      </c>
      <c r="J36" s="18">
        <f t="shared" ref="J36:J44" si="37">N36</f>
        <v>0</v>
      </c>
      <c r="K36" s="18">
        <f t="shared" ref="K36:K44" si="38">N36</f>
        <v>0</v>
      </c>
      <c r="L36" s="18">
        <f t="shared" ref="L36:L44" si="39">N36</f>
        <v>0</v>
      </c>
      <c r="N36" s="18">
        <v>0</v>
      </c>
    </row>
    <row r="37" spans="1:14" x14ac:dyDescent="0.25">
      <c r="A37" s="2" t="s">
        <v>37</v>
      </c>
      <c r="B37" s="2" t="s">
        <v>39</v>
      </c>
      <c r="C37" s="25">
        <f t="shared" si="30"/>
        <v>0</v>
      </c>
      <c r="D37" s="25">
        <f t="shared" si="31"/>
        <v>0</v>
      </c>
      <c r="E37" s="25">
        <f t="shared" si="32"/>
        <v>0</v>
      </c>
      <c r="F37" s="25">
        <f t="shared" si="33"/>
        <v>0</v>
      </c>
      <c r="G37" s="25">
        <f t="shared" si="34"/>
        <v>0</v>
      </c>
      <c r="H37" s="25">
        <f t="shared" si="35"/>
        <v>0</v>
      </c>
      <c r="I37" s="25">
        <f t="shared" si="36"/>
        <v>0</v>
      </c>
      <c r="J37" s="25">
        <f t="shared" si="37"/>
        <v>0</v>
      </c>
      <c r="K37" s="25">
        <f t="shared" si="38"/>
        <v>0</v>
      </c>
      <c r="L37" s="22">
        <f t="shared" si="39"/>
        <v>0</v>
      </c>
      <c r="N37" s="22">
        <v>0</v>
      </c>
    </row>
    <row r="38" spans="1:14" x14ac:dyDescent="0.25">
      <c r="A38" s="2" t="s">
        <v>38</v>
      </c>
      <c r="B38" s="2" t="s">
        <v>39</v>
      </c>
      <c r="C38" s="25">
        <f t="shared" si="30"/>
        <v>0</v>
      </c>
      <c r="D38" s="25">
        <f t="shared" si="31"/>
        <v>0</v>
      </c>
      <c r="E38" s="25">
        <f t="shared" si="32"/>
        <v>0</v>
      </c>
      <c r="F38" s="25">
        <f t="shared" si="33"/>
        <v>0</v>
      </c>
      <c r="G38" s="25">
        <f t="shared" si="34"/>
        <v>0</v>
      </c>
      <c r="H38" s="25">
        <f t="shared" si="35"/>
        <v>0</v>
      </c>
      <c r="I38" s="25">
        <f t="shared" si="36"/>
        <v>0</v>
      </c>
      <c r="J38" s="25">
        <f t="shared" si="37"/>
        <v>0</v>
      </c>
      <c r="K38" s="25">
        <f t="shared" si="38"/>
        <v>0</v>
      </c>
      <c r="L38" s="22">
        <f t="shared" si="39"/>
        <v>0</v>
      </c>
      <c r="N38" s="22">
        <v>0</v>
      </c>
    </row>
    <row r="39" spans="1:14" x14ac:dyDescent="0.25">
      <c r="A39" s="2" t="s">
        <v>40</v>
      </c>
      <c r="B39" s="2" t="s">
        <v>39</v>
      </c>
      <c r="C39" s="18">
        <f t="shared" si="30"/>
        <v>0</v>
      </c>
      <c r="D39" s="18">
        <f t="shared" si="31"/>
        <v>0</v>
      </c>
      <c r="E39" s="18">
        <f t="shared" si="32"/>
        <v>0</v>
      </c>
      <c r="F39" s="18">
        <f t="shared" si="33"/>
        <v>0</v>
      </c>
      <c r="G39" s="18">
        <f t="shared" si="34"/>
        <v>0</v>
      </c>
      <c r="H39" s="18">
        <f t="shared" si="35"/>
        <v>0</v>
      </c>
      <c r="I39" s="18">
        <f t="shared" si="36"/>
        <v>0</v>
      </c>
      <c r="J39" s="18">
        <f t="shared" si="37"/>
        <v>0</v>
      </c>
      <c r="K39" s="18">
        <f t="shared" si="38"/>
        <v>0</v>
      </c>
      <c r="L39" s="18">
        <f t="shared" si="39"/>
        <v>0</v>
      </c>
      <c r="N39" s="18">
        <v>0</v>
      </c>
    </row>
    <row r="40" spans="1:14" x14ac:dyDescent="0.25">
      <c r="A40" s="2" t="s">
        <v>41</v>
      </c>
      <c r="B40" s="2" t="s">
        <v>39</v>
      </c>
      <c r="C40" s="26">
        <f t="shared" si="30"/>
        <v>0</v>
      </c>
      <c r="D40" s="26">
        <f t="shared" si="31"/>
        <v>0</v>
      </c>
      <c r="E40" s="26">
        <f t="shared" si="32"/>
        <v>0</v>
      </c>
      <c r="F40" s="26">
        <f t="shared" si="33"/>
        <v>0</v>
      </c>
      <c r="G40" s="26">
        <f t="shared" si="34"/>
        <v>0</v>
      </c>
      <c r="H40" s="26">
        <f t="shared" si="35"/>
        <v>0</v>
      </c>
      <c r="I40" s="26">
        <f t="shared" si="36"/>
        <v>0</v>
      </c>
      <c r="J40" s="26">
        <f t="shared" si="37"/>
        <v>0</v>
      </c>
      <c r="K40" s="26">
        <f t="shared" si="38"/>
        <v>0</v>
      </c>
      <c r="L40" s="26">
        <f t="shared" si="39"/>
        <v>0</v>
      </c>
      <c r="N40" s="26">
        <v>0</v>
      </c>
    </row>
    <row r="41" spans="1:14" x14ac:dyDescent="0.25">
      <c r="A41" s="2" t="s">
        <v>42</v>
      </c>
      <c r="B41" s="2" t="s">
        <v>39</v>
      </c>
      <c r="C41" s="25">
        <f t="shared" si="30"/>
        <v>0</v>
      </c>
      <c r="D41" s="25">
        <f t="shared" si="31"/>
        <v>0</v>
      </c>
      <c r="E41" s="25">
        <f t="shared" si="32"/>
        <v>0</v>
      </c>
      <c r="F41" s="25">
        <f t="shared" si="33"/>
        <v>0</v>
      </c>
      <c r="G41" s="25">
        <f t="shared" si="34"/>
        <v>0</v>
      </c>
      <c r="H41" s="25">
        <f t="shared" si="35"/>
        <v>0</v>
      </c>
      <c r="I41" s="25">
        <f t="shared" si="36"/>
        <v>0</v>
      </c>
      <c r="J41" s="25">
        <f t="shared" si="37"/>
        <v>0</v>
      </c>
      <c r="K41" s="25">
        <f t="shared" si="38"/>
        <v>0</v>
      </c>
      <c r="L41" s="22">
        <f t="shared" si="39"/>
        <v>0</v>
      </c>
      <c r="N41" s="22">
        <v>0</v>
      </c>
    </row>
    <row r="42" spans="1:14" x14ac:dyDescent="0.25">
      <c r="A42" s="2" t="s">
        <v>43</v>
      </c>
      <c r="B42" s="2" t="s">
        <v>45</v>
      </c>
      <c r="C42" s="27">
        <f t="shared" si="30"/>
        <v>0</v>
      </c>
      <c r="D42" s="25">
        <f t="shared" si="31"/>
        <v>0</v>
      </c>
      <c r="E42" s="25">
        <f t="shared" si="32"/>
        <v>0</v>
      </c>
      <c r="F42" s="25">
        <f t="shared" si="33"/>
        <v>0</v>
      </c>
      <c r="G42" s="25">
        <f t="shared" si="34"/>
        <v>0</v>
      </c>
      <c r="H42" s="25">
        <f t="shared" si="35"/>
        <v>0</v>
      </c>
      <c r="I42" s="25">
        <f t="shared" si="36"/>
        <v>0</v>
      </c>
      <c r="J42" s="25">
        <f t="shared" si="37"/>
        <v>0</v>
      </c>
      <c r="K42" s="25">
        <f t="shared" si="38"/>
        <v>0</v>
      </c>
      <c r="L42" s="22">
        <f t="shared" si="39"/>
        <v>0</v>
      </c>
      <c r="N42" s="22">
        <v>0</v>
      </c>
    </row>
    <row r="43" spans="1:14" x14ac:dyDescent="0.25">
      <c r="A43" s="2" t="s">
        <v>46</v>
      </c>
      <c r="B43" s="2" t="s">
        <v>47</v>
      </c>
      <c r="C43" s="28">
        <f t="shared" si="30"/>
        <v>0</v>
      </c>
      <c r="D43" s="18">
        <f t="shared" si="31"/>
        <v>0</v>
      </c>
      <c r="E43" s="18">
        <f t="shared" si="32"/>
        <v>0</v>
      </c>
      <c r="F43" s="18">
        <f t="shared" si="33"/>
        <v>0</v>
      </c>
      <c r="G43" s="18">
        <f t="shared" si="34"/>
        <v>0</v>
      </c>
      <c r="H43" s="18">
        <f t="shared" si="35"/>
        <v>0</v>
      </c>
      <c r="I43" s="18">
        <f t="shared" si="36"/>
        <v>0</v>
      </c>
      <c r="J43" s="18">
        <f t="shared" si="37"/>
        <v>0</v>
      </c>
      <c r="K43" s="18">
        <f t="shared" si="38"/>
        <v>0</v>
      </c>
      <c r="L43" s="18">
        <f t="shared" si="39"/>
        <v>0</v>
      </c>
      <c r="N43" s="18">
        <v>0</v>
      </c>
    </row>
    <row r="44" spans="1:14" x14ac:dyDescent="0.25">
      <c r="A44" s="2" t="s">
        <v>48</v>
      </c>
      <c r="B44" s="2" t="s">
        <v>47</v>
      </c>
      <c r="C44" s="28">
        <f t="shared" si="30"/>
        <v>0</v>
      </c>
      <c r="D44" s="18">
        <f t="shared" si="31"/>
        <v>0</v>
      </c>
      <c r="E44" s="18">
        <f t="shared" si="32"/>
        <v>0</v>
      </c>
      <c r="F44" s="18">
        <f t="shared" si="33"/>
        <v>0</v>
      </c>
      <c r="G44" s="18">
        <f t="shared" si="34"/>
        <v>0</v>
      </c>
      <c r="H44" s="18">
        <f t="shared" si="35"/>
        <v>0</v>
      </c>
      <c r="I44" s="18">
        <f t="shared" si="36"/>
        <v>0</v>
      </c>
      <c r="J44" s="18">
        <f t="shared" si="37"/>
        <v>0</v>
      </c>
      <c r="K44" s="18">
        <f t="shared" si="38"/>
        <v>0</v>
      </c>
      <c r="L44" s="18">
        <f t="shared" si="39"/>
        <v>0</v>
      </c>
      <c r="N44" s="18">
        <v>0</v>
      </c>
    </row>
    <row r="45" spans="1:14" ht="18.75" x14ac:dyDescent="0.3">
      <c r="A45" s="3" t="s">
        <v>49</v>
      </c>
      <c r="J45" s="10"/>
      <c r="K45" s="10"/>
      <c r="L45" s="10"/>
    </row>
    <row r="46" spans="1:14" x14ac:dyDescent="0.25">
      <c r="A46" s="2" t="s">
        <v>50</v>
      </c>
      <c r="B46" s="2"/>
      <c r="C46" s="19">
        <f>N46</f>
        <v>0</v>
      </c>
      <c r="D46" s="19">
        <f>N46</f>
        <v>0</v>
      </c>
      <c r="E46" s="19">
        <f>N46</f>
        <v>0</v>
      </c>
      <c r="F46" s="19">
        <f>N46</f>
        <v>0</v>
      </c>
      <c r="G46" s="19">
        <f>N46</f>
        <v>0</v>
      </c>
      <c r="H46" s="19">
        <f>N46</f>
        <v>0</v>
      </c>
      <c r="I46" s="19">
        <f>N46</f>
        <v>0</v>
      </c>
      <c r="J46" s="19">
        <f>N46</f>
        <v>0</v>
      </c>
      <c r="K46" s="19">
        <f>N46</f>
        <v>0</v>
      </c>
      <c r="L46" s="19">
        <f>N46</f>
        <v>0</v>
      </c>
      <c r="N46" s="19">
        <v>0</v>
      </c>
    </row>
    <row r="47" spans="1:14" x14ac:dyDescent="0.25">
      <c r="A47" s="2" t="s">
        <v>52</v>
      </c>
      <c r="B47" s="2"/>
      <c r="C47" s="19">
        <f>N47</f>
        <v>0</v>
      </c>
      <c r="D47" s="19">
        <f>N47</f>
        <v>0</v>
      </c>
      <c r="E47" s="19">
        <f>N47</f>
        <v>0</v>
      </c>
      <c r="F47" s="19">
        <f>N47</f>
        <v>0</v>
      </c>
      <c r="G47" s="19">
        <f>N47</f>
        <v>0</v>
      </c>
      <c r="H47" s="19">
        <f>N47</f>
        <v>0</v>
      </c>
      <c r="I47" s="19">
        <f>N47</f>
        <v>0</v>
      </c>
      <c r="J47" s="19">
        <f>N47</f>
        <v>0</v>
      </c>
      <c r="K47" s="19">
        <f>N47</f>
        <v>0</v>
      </c>
      <c r="L47" s="19">
        <f>N47</f>
        <v>0</v>
      </c>
      <c r="N47" s="19">
        <v>0</v>
      </c>
    </row>
    <row r="48" spans="1:14" x14ac:dyDescent="0.25">
      <c r="A48" s="2" t="s">
        <v>53</v>
      </c>
      <c r="B48" s="2"/>
      <c r="C48" s="19">
        <f>N48</f>
        <v>0</v>
      </c>
      <c r="D48" s="19">
        <f>N48</f>
        <v>0</v>
      </c>
      <c r="E48" s="19">
        <f>N48</f>
        <v>0</v>
      </c>
      <c r="F48" s="19">
        <f>N48</f>
        <v>0</v>
      </c>
      <c r="G48" s="19">
        <f>N48</f>
        <v>0</v>
      </c>
      <c r="H48" s="19">
        <f>N48</f>
        <v>0</v>
      </c>
      <c r="I48" s="19">
        <f>N48</f>
        <v>0</v>
      </c>
      <c r="J48" s="19">
        <f>N48</f>
        <v>0</v>
      </c>
      <c r="K48" s="19">
        <f>N48</f>
        <v>0</v>
      </c>
      <c r="L48" s="19">
        <f>N48</f>
        <v>0</v>
      </c>
      <c r="N48" s="19">
        <v>0</v>
      </c>
    </row>
    <row r="49" spans="1:25 16384:16384" x14ac:dyDescent="0.25">
      <c r="A49" s="2" t="s">
        <v>54</v>
      </c>
      <c r="C49" s="19">
        <f>N49</f>
        <v>0</v>
      </c>
      <c r="D49" s="19">
        <f>N49</f>
        <v>0</v>
      </c>
      <c r="E49" s="19">
        <f>N49</f>
        <v>0</v>
      </c>
      <c r="F49" s="19">
        <f>N49</f>
        <v>0</v>
      </c>
      <c r="G49" s="19">
        <f>N49</f>
        <v>0</v>
      </c>
      <c r="H49" s="19">
        <f>N49</f>
        <v>0</v>
      </c>
      <c r="I49" s="19">
        <f>N49</f>
        <v>0</v>
      </c>
      <c r="J49" s="19">
        <f>N49</f>
        <v>0</v>
      </c>
      <c r="K49" s="19">
        <f>N49</f>
        <v>0</v>
      </c>
      <c r="L49" s="19">
        <f>N49</f>
        <v>0</v>
      </c>
      <c r="N49" s="19">
        <v>0</v>
      </c>
    </row>
    <row r="50" spans="1:25 16384:16384" x14ac:dyDescent="0.25">
      <c r="A50" s="13" t="s">
        <v>55</v>
      </c>
      <c r="C50" s="31">
        <f t="shared" ref="C50:L50" si="40">$N$50</f>
        <v>0</v>
      </c>
      <c r="D50" s="31">
        <f t="shared" si="40"/>
        <v>0</v>
      </c>
      <c r="E50" s="31">
        <f t="shared" si="40"/>
        <v>0</v>
      </c>
      <c r="F50" s="31">
        <f t="shared" si="40"/>
        <v>0</v>
      </c>
      <c r="G50" s="31">
        <f t="shared" si="40"/>
        <v>0</v>
      </c>
      <c r="H50" s="31">
        <f t="shared" si="40"/>
        <v>0</v>
      </c>
      <c r="I50" s="31">
        <f t="shared" si="40"/>
        <v>0</v>
      </c>
      <c r="J50" s="31">
        <f t="shared" si="40"/>
        <v>0</v>
      </c>
      <c r="K50" s="31">
        <f t="shared" si="40"/>
        <v>0</v>
      </c>
      <c r="L50" s="31">
        <f t="shared" si="40"/>
        <v>0</v>
      </c>
      <c r="N50" s="31">
        <v>0</v>
      </c>
      <c r="O50" s="19" t="s">
        <v>144</v>
      </c>
    </row>
    <row r="51" spans="1:25 16384:16384" x14ac:dyDescent="0.25">
      <c r="A51" s="13" t="s">
        <v>56</v>
      </c>
      <c r="C51" s="31">
        <f t="shared" ref="C51:L51" si="41">$N$51</f>
        <v>0</v>
      </c>
      <c r="D51" s="31">
        <f t="shared" si="41"/>
        <v>0</v>
      </c>
      <c r="E51" s="31">
        <f t="shared" si="41"/>
        <v>0</v>
      </c>
      <c r="F51" s="31">
        <f t="shared" si="41"/>
        <v>0</v>
      </c>
      <c r="G51" s="31">
        <f t="shared" si="41"/>
        <v>0</v>
      </c>
      <c r="H51" s="31">
        <f t="shared" si="41"/>
        <v>0</v>
      </c>
      <c r="I51" s="31">
        <f t="shared" si="41"/>
        <v>0</v>
      </c>
      <c r="J51" s="31">
        <f t="shared" si="41"/>
        <v>0</v>
      </c>
      <c r="K51" s="31">
        <f t="shared" si="41"/>
        <v>0</v>
      </c>
      <c r="L51" s="31">
        <f t="shared" si="41"/>
        <v>0</v>
      </c>
      <c r="N51" s="31">
        <v>0</v>
      </c>
    </row>
    <row r="52" spans="1:25 16384:16384" x14ac:dyDescent="0.25">
      <c r="A52" s="13" t="s">
        <v>63</v>
      </c>
      <c r="C52" s="19">
        <f>N52</f>
        <v>0</v>
      </c>
      <c r="D52" s="19">
        <f>N52</f>
        <v>0</v>
      </c>
      <c r="E52" s="19">
        <f>N52</f>
        <v>0</v>
      </c>
      <c r="F52" s="19">
        <f>N52</f>
        <v>0</v>
      </c>
      <c r="G52" s="19">
        <f>N52</f>
        <v>0</v>
      </c>
      <c r="H52" s="19">
        <f>N52</f>
        <v>0</v>
      </c>
      <c r="I52" s="19">
        <f>N52</f>
        <v>0</v>
      </c>
      <c r="J52" s="19">
        <f>N52</f>
        <v>0</v>
      </c>
      <c r="K52" s="19">
        <f>N52</f>
        <v>0</v>
      </c>
      <c r="L52" s="19">
        <f>N52</f>
        <v>0</v>
      </c>
      <c r="N52" s="19">
        <v>0</v>
      </c>
    </row>
    <row r="53" spans="1:25 16384:16384" x14ac:dyDescent="0.25">
      <c r="A53" s="13" t="s">
        <v>64</v>
      </c>
      <c r="C53" s="19">
        <f>N53</f>
        <v>0</v>
      </c>
      <c r="D53" s="19">
        <f>N53</f>
        <v>0</v>
      </c>
      <c r="E53" s="19">
        <f>N53</f>
        <v>0</v>
      </c>
      <c r="F53" s="19">
        <f>N53</f>
        <v>0</v>
      </c>
      <c r="G53" s="19">
        <f>N53</f>
        <v>0</v>
      </c>
      <c r="H53" s="19">
        <f>N53</f>
        <v>0</v>
      </c>
      <c r="I53" s="19">
        <f>N53</f>
        <v>0</v>
      </c>
      <c r="J53" s="19">
        <f>N53</f>
        <v>0</v>
      </c>
      <c r="K53" s="19">
        <f>N53</f>
        <v>0</v>
      </c>
      <c r="L53" s="19">
        <f>N53</f>
        <v>0</v>
      </c>
      <c r="N53" s="19">
        <v>0</v>
      </c>
    </row>
    <row r="54" spans="1:25 16384:16384" x14ac:dyDescent="0.25">
      <c r="A54" s="13" t="s">
        <v>65</v>
      </c>
      <c r="C54" s="31">
        <f t="shared" ref="C54:K54" si="42">$N$54</f>
        <v>0</v>
      </c>
      <c r="D54" s="31">
        <f t="shared" si="42"/>
        <v>0</v>
      </c>
      <c r="E54" s="31">
        <f t="shared" si="42"/>
        <v>0</v>
      </c>
      <c r="F54" s="31">
        <f t="shared" si="42"/>
        <v>0</v>
      </c>
      <c r="G54" s="31">
        <f t="shared" si="42"/>
        <v>0</v>
      </c>
      <c r="H54" s="31">
        <f t="shared" si="42"/>
        <v>0</v>
      </c>
      <c r="I54" s="31">
        <f t="shared" si="42"/>
        <v>0</v>
      </c>
      <c r="J54" s="31">
        <f t="shared" si="42"/>
        <v>0</v>
      </c>
      <c r="K54" s="31">
        <f t="shared" si="42"/>
        <v>0</v>
      </c>
      <c r="L54" s="31">
        <f>$N$54</f>
        <v>0</v>
      </c>
      <c r="N54" s="31">
        <v>0</v>
      </c>
      <c r="P54" s="2"/>
      <c r="Q54" s="2"/>
      <c r="R54" s="2"/>
      <c r="S54" s="2"/>
      <c r="T54" s="2"/>
      <c r="U54" s="2"/>
      <c r="V54" s="2"/>
      <c r="W54" s="2"/>
      <c r="X54" s="2"/>
      <c r="Y54" s="2"/>
      <c r="XFD54" t="s">
        <v>143</v>
      </c>
    </row>
    <row r="55" spans="1:25 16384:16384" x14ac:dyDescent="0.25">
      <c r="A55" s="13" t="s">
        <v>66</v>
      </c>
      <c r="C55" s="31">
        <f>$N$55</f>
        <v>0</v>
      </c>
      <c r="D55" s="31">
        <f t="shared" ref="D55:L55" si="43">$N$55</f>
        <v>0</v>
      </c>
      <c r="E55" s="31">
        <f t="shared" si="43"/>
        <v>0</v>
      </c>
      <c r="F55" s="31">
        <f t="shared" si="43"/>
        <v>0</v>
      </c>
      <c r="G55" s="31">
        <f t="shared" si="43"/>
        <v>0</v>
      </c>
      <c r="H55" s="31">
        <f t="shared" si="43"/>
        <v>0</v>
      </c>
      <c r="I55" s="31">
        <f t="shared" si="43"/>
        <v>0</v>
      </c>
      <c r="J55" s="31">
        <f t="shared" si="43"/>
        <v>0</v>
      </c>
      <c r="K55" s="31">
        <f t="shared" si="43"/>
        <v>0</v>
      </c>
      <c r="L55" s="31">
        <f t="shared" si="43"/>
        <v>0</v>
      </c>
      <c r="N55" s="31">
        <v>0</v>
      </c>
    </row>
    <row r="56" spans="1:25 16384:16384" x14ac:dyDescent="0.25">
      <c r="A56" s="4" t="s">
        <v>57</v>
      </c>
      <c r="C56" s="19">
        <f>N56</f>
        <v>0</v>
      </c>
      <c r="D56" s="19">
        <f>N56</f>
        <v>0</v>
      </c>
      <c r="E56" s="19">
        <f>N56</f>
        <v>0</v>
      </c>
      <c r="F56" s="19">
        <f>N56</f>
        <v>0</v>
      </c>
      <c r="G56" s="19">
        <f>N56</f>
        <v>0</v>
      </c>
      <c r="H56" s="19">
        <f>N56</f>
        <v>0</v>
      </c>
      <c r="I56" s="19">
        <f>N56</f>
        <v>0</v>
      </c>
      <c r="J56" s="19">
        <f>N56</f>
        <v>0</v>
      </c>
      <c r="K56" s="19">
        <f>N56</f>
        <v>0</v>
      </c>
      <c r="L56" s="19">
        <f>N56</f>
        <v>0</v>
      </c>
      <c r="N56" s="19">
        <v>0</v>
      </c>
    </row>
    <row r="57" spans="1:25 16384:16384" ht="18.75" x14ac:dyDescent="0.3">
      <c r="A57" s="3" t="s">
        <v>59</v>
      </c>
      <c r="J57" s="10"/>
      <c r="K57" s="10"/>
      <c r="L57" s="10"/>
      <c r="N57" s="19"/>
    </row>
    <row r="58" spans="1:25 16384:16384" x14ac:dyDescent="0.25">
      <c r="A58" s="2" t="s">
        <v>60</v>
      </c>
      <c r="C58" s="25">
        <f>N58</f>
        <v>0</v>
      </c>
      <c r="D58" s="25">
        <f>N58</f>
        <v>0</v>
      </c>
      <c r="E58" s="25">
        <f>N58</f>
        <v>0</v>
      </c>
      <c r="F58" s="25">
        <f>N58</f>
        <v>0</v>
      </c>
      <c r="G58" s="25">
        <f>N58</f>
        <v>0</v>
      </c>
      <c r="H58" s="25">
        <f>N58</f>
        <v>0</v>
      </c>
      <c r="I58" s="25">
        <f>N58</f>
        <v>0</v>
      </c>
      <c r="J58" s="25">
        <f>N58</f>
        <v>0</v>
      </c>
      <c r="K58" s="25">
        <f>N58</f>
        <v>0</v>
      </c>
      <c r="L58" s="22">
        <f>N58</f>
        <v>0</v>
      </c>
      <c r="N58" s="24">
        <v>0</v>
      </c>
    </row>
    <row r="59" spans="1:25 16384:16384" x14ac:dyDescent="0.25">
      <c r="A59" s="2" t="s">
        <v>61</v>
      </c>
      <c r="C59" s="25">
        <f>N59</f>
        <v>0</v>
      </c>
      <c r="D59" s="25">
        <f>N59</f>
        <v>0</v>
      </c>
      <c r="E59" s="25">
        <f>N59</f>
        <v>0</v>
      </c>
      <c r="F59" s="25">
        <f>N59</f>
        <v>0</v>
      </c>
      <c r="G59" s="25">
        <f>N59</f>
        <v>0</v>
      </c>
      <c r="H59" s="25">
        <f>N59</f>
        <v>0</v>
      </c>
      <c r="I59" s="25">
        <f>N59</f>
        <v>0</v>
      </c>
      <c r="J59" s="25">
        <f>N59</f>
        <v>0</v>
      </c>
      <c r="K59" s="25">
        <f>N59</f>
        <v>0</v>
      </c>
      <c r="L59" s="22">
        <f>N59</f>
        <v>0</v>
      </c>
      <c r="N59" s="24">
        <v>0</v>
      </c>
    </row>
    <row r="61" spans="1:25 16384:16384" x14ac:dyDescent="0.25">
      <c r="N61" s="19"/>
      <c r="O61" t="s">
        <v>145</v>
      </c>
    </row>
    <row r="62" spans="1:25 16384:16384" x14ac:dyDescent="0.25">
      <c r="O62" t="s">
        <v>146</v>
      </c>
    </row>
    <row r="63" spans="1:25 16384:16384" x14ac:dyDescent="0.25">
      <c r="O63" t="s">
        <v>147</v>
      </c>
    </row>
    <row r="65" spans="1:24" ht="26.25" x14ac:dyDescent="0.4">
      <c r="A65" s="73" t="s">
        <v>148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spans="1:24" x14ac:dyDescent="0.25">
      <c r="Q66" s="69" t="s">
        <v>155</v>
      </c>
      <c r="R66" s="70"/>
      <c r="T66" s="74" t="s">
        <v>35</v>
      </c>
      <c r="U66" s="75"/>
      <c r="W66" s="74" t="s">
        <v>156</v>
      </c>
      <c r="X66" s="75"/>
    </row>
    <row r="67" spans="1:24" ht="21" x14ac:dyDescent="0.35">
      <c r="D67" s="53" t="s">
        <v>149</v>
      </c>
      <c r="E67" s="53"/>
      <c r="G67" s="32"/>
      <c r="H67" s="54" t="s">
        <v>150</v>
      </c>
      <c r="I67" s="54"/>
      <c r="Q67" s="34">
        <v>4.09</v>
      </c>
      <c r="R67" s="34">
        <v>100</v>
      </c>
      <c r="T67" s="34">
        <v>72</v>
      </c>
      <c r="U67" s="34">
        <v>100</v>
      </c>
      <c r="W67" s="34">
        <v>29</v>
      </c>
      <c r="X67" s="34">
        <v>100</v>
      </c>
    </row>
    <row r="68" spans="1:24" x14ac:dyDescent="0.25">
      <c r="C68" s="6" t="s">
        <v>151</v>
      </c>
      <c r="D68" s="6" t="s">
        <v>21</v>
      </c>
      <c r="E68" s="6" t="s">
        <v>152</v>
      </c>
      <c r="H68" s="6" t="s">
        <v>153</v>
      </c>
      <c r="I68" s="6" t="s">
        <v>154</v>
      </c>
      <c r="Q68" s="34">
        <v>4.1900000000000004</v>
      </c>
      <c r="R68" s="34">
        <v>95</v>
      </c>
      <c r="T68" s="34">
        <v>73</v>
      </c>
      <c r="U68" s="34">
        <v>95</v>
      </c>
      <c r="W68" s="34">
        <v>30</v>
      </c>
      <c r="X68" s="34">
        <v>95</v>
      </c>
    </row>
    <row r="69" spans="1:24" x14ac:dyDescent="0.25">
      <c r="C69" s="33" t="s">
        <v>1</v>
      </c>
      <c r="D69" s="33" t="s">
        <v>22</v>
      </c>
      <c r="E69" s="34">
        <f>N4</f>
        <v>0</v>
      </c>
      <c r="G69" s="33" t="s">
        <v>50</v>
      </c>
      <c r="H69" s="34">
        <f t="shared" ref="H69:H79" si="44">N46</f>
        <v>0</v>
      </c>
      <c r="I69" s="35">
        <f>(H69/21)*100</f>
        <v>0</v>
      </c>
      <c r="Q69" s="34">
        <v>4.29</v>
      </c>
      <c r="R69" s="34">
        <v>90</v>
      </c>
      <c r="T69" s="34">
        <v>74</v>
      </c>
      <c r="U69" s="34">
        <v>90</v>
      </c>
      <c r="W69" s="34">
        <v>31</v>
      </c>
      <c r="X69" s="34">
        <v>90</v>
      </c>
    </row>
    <row r="70" spans="1:24" x14ac:dyDescent="0.25">
      <c r="C70" s="33" t="s">
        <v>2</v>
      </c>
      <c r="D70" s="33" t="s">
        <v>22</v>
      </c>
      <c r="E70" s="34">
        <f>N5</f>
        <v>0</v>
      </c>
      <c r="G70" s="33" t="s">
        <v>157</v>
      </c>
      <c r="H70" s="34">
        <f t="shared" si="44"/>
        <v>0</v>
      </c>
      <c r="I70" s="35">
        <f>(H70/45)*100</f>
        <v>0</v>
      </c>
      <c r="Q70" s="34">
        <v>4.3899999999999997</v>
      </c>
      <c r="R70" s="34">
        <v>85</v>
      </c>
      <c r="T70" s="34">
        <v>75</v>
      </c>
      <c r="U70" s="34">
        <v>85</v>
      </c>
      <c r="W70" s="34">
        <v>32</v>
      </c>
      <c r="X70" s="34">
        <v>85</v>
      </c>
    </row>
    <row r="71" spans="1:24" x14ac:dyDescent="0.25">
      <c r="C71" s="33" t="s">
        <v>3</v>
      </c>
      <c r="D71" s="33" t="s">
        <v>22</v>
      </c>
      <c r="E71" s="34">
        <f>N6</f>
        <v>0</v>
      </c>
      <c r="G71" s="33" t="s">
        <v>158</v>
      </c>
      <c r="H71" s="34">
        <f t="shared" si="44"/>
        <v>0</v>
      </c>
      <c r="I71" s="35">
        <f>(H71/15)*100</f>
        <v>0</v>
      </c>
      <c r="Q71" s="34">
        <v>4.49</v>
      </c>
      <c r="R71" s="34">
        <v>80</v>
      </c>
      <c r="T71" s="34">
        <v>76</v>
      </c>
      <c r="U71" s="34">
        <v>80</v>
      </c>
      <c r="W71" s="34">
        <v>33</v>
      </c>
      <c r="X71" s="34">
        <v>80</v>
      </c>
    </row>
    <row r="72" spans="1:24" x14ac:dyDescent="0.25">
      <c r="C72" s="33" t="s">
        <v>4</v>
      </c>
      <c r="D72" s="33" t="s">
        <v>22</v>
      </c>
      <c r="E72" s="34">
        <f>N7</f>
        <v>0</v>
      </c>
      <c r="G72" s="62" t="s">
        <v>159</v>
      </c>
      <c r="H72" s="34">
        <f t="shared" si="44"/>
        <v>0</v>
      </c>
      <c r="I72" s="35">
        <f>(H72/45)*100</f>
        <v>0</v>
      </c>
      <c r="Q72" s="34">
        <v>4.59</v>
      </c>
      <c r="R72" s="34">
        <v>75</v>
      </c>
      <c r="T72" s="34">
        <v>77</v>
      </c>
      <c r="U72" s="34">
        <v>75</v>
      </c>
      <c r="W72" s="34">
        <v>34</v>
      </c>
      <c r="X72" s="34">
        <v>75</v>
      </c>
    </row>
    <row r="73" spans="1:24" x14ac:dyDescent="0.25">
      <c r="C73" s="33" t="s">
        <v>5</v>
      </c>
      <c r="D73" s="33" t="s">
        <v>22</v>
      </c>
      <c r="E73" s="34">
        <f>N7</f>
        <v>0</v>
      </c>
      <c r="G73" s="55" t="s">
        <v>160</v>
      </c>
      <c r="H73" s="56">
        <f t="shared" si="44"/>
        <v>0</v>
      </c>
      <c r="I73" s="35">
        <f>(H73/24)*100</f>
        <v>0</v>
      </c>
      <c r="Q73" s="34">
        <v>4.6900000000000004</v>
      </c>
      <c r="R73" s="34">
        <v>70</v>
      </c>
      <c r="T73" s="34">
        <v>78</v>
      </c>
      <c r="U73" s="34">
        <v>70</v>
      </c>
      <c r="W73" s="34">
        <v>35</v>
      </c>
      <c r="X73" s="34">
        <v>70</v>
      </c>
    </row>
    <row r="74" spans="1:24" x14ac:dyDescent="0.25">
      <c r="C74" s="33" t="s">
        <v>6</v>
      </c>
      <c r="D74" s="33" t="s">
        <v>1</v>
      </c>
      <c r="E74" s="34">
        <f>N8</f>
        <v>0</v>
      </c>
      <c r="G74" s="63" t="s">
        <v>161</v>
      </c>
      <c r="H74" s="56">
        <f t="shared" si="44"/>
        <v>0</v>
      </c>
      <c r="I74" s="35">
        <f>(H74/24)*100</f>
        <v>0</v>
      </c>
      <c r="Q74" s="34">
        <v>4.79</v>
      </c>
      <c r="R74" s="34">
        <v>65</v>
      </c>
      <c r="T74" s="34">
        <v>79</v>
      </c>
      <c r="U74" s="34">
        <v>65</v>
      </c>
      <c r="W74" s="34">
        <v>36</v>
      </c>
      <c r="X74" s="34">
        <v>65</v>
      </c>
    </row>
    <row r="75" spans="1:24" x14ac:dyDescent="0.25">
      <c r="C75" s="33" t="s">
        <v>7</v>
      </c>
      <c r="D75" s="33" t="s">
        <v>2</v>
      </c>
      <c r="E75" s="34">
        <f>N9</f>
        <v>0</v>
      </c>
      <c r="G75" s="33" t="s">
        <v>162</v>
      </c>
      <c r="H75" s="34">
        <f t="shared" si="44"/>
        <v>0</v>
      </c>
      <c r="I75" s="35">
        <f>(H75/240)*100</f>
        <v>0</v>
      </c>
      <c r="Q75" s="34">
        <v>4.8899999999999997</v>
      </c>
      <c r="R75" s="34">
        <v>60</v>
      </c>
      <c r="T75" s="34">
        <v>80</v>
      </c>
      <c r="U75" s="34">
        <v>60</v>
      </c>
      <c r="W75" s="34">
        <v>37</v>
      </c>
      <c r="X75" s="34">
        <v>60</v>
      </c>
    </row>
    <row r="76" spans="1:24" x14ac:dyDescent="0.25">
      <c r="D76" s="36" t="s">
        <v>163</v>
      </c>
      <c r="E76" s="34">
        <f>SUM(E69:E75)</f>
        <v>0</v>
      </c>
      <c r="G76" s="33" t="s">
        <v>164</v>
      </c>
      <c r="H76" s="34">
        <f t="shared" si="44"/>
        <v>0</v>
      </c>
      <c r="I76" s="35">
        <f>(H76/240)*100</f>
        <v>0</v>
      </c>
      <c r="Q76" s="34">
        <v>4.99</v>
      </c>
      <c r="R76" s="34">
        <v>55</v>
      </c>
      <c r="T76" s="34">
        <v>81</v>
      </c>
      <c r="U76" s="34">
        <v>55</v>
      </c>
      <c r="W76" s="34">
        <v>38</v>
      </c>
      <c r="X76" s="34">
        <v>55</v>
      </c>
    </row>
    <row r="77" spans="1:24" x14ac:dyDescent="0.25">
      <c r="E77" s="19"/>
      <c r="G77" s="33" t="s">
        <v>165</v>
      </c>
      <c r="H77" s="56">
        <f t="shared" si="44"/>
        <v>0</v>
      </c>
      <c r="I77" s="35">
        <f>(H77/2.04)*100</f>
        <v>0</v>
      </c>
      <c r="Q77" s="34">
        <v>5.0900000000000096</v>
      </c>
      <c r="R77" s="34">
        <v>50</v>
      </c>
      <c r="T77" s="34">
        <v>82</v>
      </c>
      <c r="U77" s="34">
        <v>50</v>
      </c>
      <c r="W77" s="34">
        <v>39</v>
      </c>
      <c r="X77" s="34">
        <v>50</v>
      </c>
    </row>
    <row r="78" spans="1:24" x14ac:dyDescent="0.25">
      <c r="C78" s="6" t="s">
        <v>8</v>
      </c>
      <c r="D78" s="6" t="s">
        <v>21</v>
      </c>
      <c r="E78" s="6" t="s">
        <v>166</v>
      </c>
      <c r="G78" s="37" t="s">
        <v>167</v>
      </c>
      <c r="H78" s="57">
        <f t="shared" si="44"/>
        <v>0</v>
      </c>
      <c r="I78" s="39">
        <f>(H78/8)*100</f>
        <v>0</v>
      </c>
      <c r="Q78" s="34">
        <v>5.1900000000000102</v>
      </c>
      <c r="R78" s="34">
        <v>45</v>
      </c>
      <c r="T78" s="34">
        <v>83</v>
      </c>
      <c r="U78" s="34">
        <v>45</v>
      </c>
      <c r="W78" s="34">
        <v>40</v>
      </c>
      <c r="X78" s="34">
        <v>45</v>
      </c>
    </row>
    <row r="79" spans="1:24" x14ac:dyDescent="0.25">
      <c r="C79" s="33" t="s">
        <v>10</v>
      </c>
      <c r="D79" s="33" t="s">
        <v>2</v>
      </c>
      <c r="E79" s="34">
        <f t="shared" ref="E79:E89" si="45">N12</f>
        <v>0</v>
      </c>
      <c r="G79" s="40" t="s">
        <v>168</v>
      </c>
      <c r="H79" s="34">
        <f t="shared" si="44"/>
        <v>0</v>
      </c>
      <c r="I79" s="39"/>
      <c r="Q79" s="34">
        <v>5.2900000000000098</v>
      </c>
      <c r="R79" s="34">
        <v>40</v>
      </c>
      <c r="T79" s="34">
        <v>84</v>
      </c>
      <c r="U79" s="34">
        <v>40</v>
      </c>
      <c r="W79" s="34">
        <v>41</v>
      </c>
      <c r="X79" s="34">
        <v>40</v>
      </c>
    </row>
    <row r="80" spans="1:24" x14ac:dyDescent="0.25">
      <c r="C80" s="33" t="s">
        <v>9</v>
      </c>
      <c r="D80" s="33" t="s">
        <v>2</v>
      </c>
      <c r="E80" s="34">
        <f t="shared" si="45"/>
        <v>0</v>
      </c>
      <c r="G80" s="10"/>
      <c r="H80" s="41" t="s">
        <v>169</v>
      </c>
      <c r="I80" s="42">
        <f>SUM(H69:H78)+(I79)</f>
        <v>0</v>
      </c>
      <c r="Q80" s="34">
        <v>5.3900000000000103</v>
      </c>
      <c r="R80" s="34">
        <v>35</v>
      </c>
      <c r="T80" s="34">
        <v>85</v>
      </c>
      <c r="U80" s="34">
        <v>35</v>
      </c>
      <c r="W80" s="34">
        <v>42</v>
      </c>
      <c r="X80" s="34">
        <v>35</v>
      </c>
    </row>
    <row r="81" spans="3:24" x14ac:dyDescent="0.25">
      <c r="C81" s="33" t="s">
        <v>11</v>
      </c>
      <c r="D81" s="33" t="s">
        <v>72</v>
      </c>
      <c r="E81" s="34">
        <f t="shared" si="45"/>
        <v>0</v>
      </c>
      <c r="H81" s="43" t="s">
        <v>170</v>
      </c>
      <c r="I81" s="44">
        <f>(I80/790)*33</f>
        <v>0</v>
      </c>
      <c r="Q81" s="34">
        <v>5.49000000000001</v>
      </c>
      <c r="R81" s="34">
        <v>30</v>
      </c>
      <c r="T81" s="34">
        <v>86</v>
      </c>
      <c r="U81" s="34">
        <v>30</v>
      </c>
      <c r="W81" s="34">
        <v>43</v>
      </c>
      <c r="X81" s="34">
        <v>30</v>
      </c>
    </row>
    <row r="82" spans="3:24" ht="15" customHeight="1" x14ac:dyDescent="0.35">
      <c r="C82" s="33" t="s">
        <v>12</v>
      </c>
      <c r="D82" s="33" t="s">
        <v>23</v>
      </c>
      <c r="E82" s="34">
        <f t="shared" si="45"/>
        <v>0</v>
      </c>
      <c r="G82" s="45"/>
      <c r="H82" s="46"/>
      <c r="I82" s="46"/>
      <c r="Q82" s="34">
        <v>5.5900000000000096</v>
      </c>
      <c r="R82" s="34">
        <v>25</v>
      </c>
      <c r="T82" s="34">
        <v>87</v>
      </c>
      <c r="U82" s="34">
        <v>25</v>
      </c>
      <c r="W82" s="34">
        <v>44</v>
      </c>
      <c r="X82" s="34">
        <v>25</v>
      </c>
    </row>
    <row r="83" spans="3:24" ht="15" customHeight="1" x14ac:dyDescent="0.25">
      <c r="C83" s="33" t="s">
        <v>13</v>
      </c>
      <c r="D83" s="33" t="s">
        <v>23</v>
      </c>
      <c r="E83" s="34">
        <f t="shared" si="45"/>
        <v>0</v>
      </c>
      <c r="G83" s="68" t="s">
        <v>171</v>
      </c>
      <c r="H83" s="68"/>
      <c r="I83" s="68"/>
      <c r="Q83" s="34">
        <v>5.6900000000000102</v>
      </c>
      <c r="R83" s="34">
        <v>20</v>
      </c>
      <c r="T83" s="34">
        <v>88</v>
      </c>
      <c r="U83" s="34">
        <v>20</v>
      </c>
      <c r="W83" s="34">
        <v>45</v>
      </c>
      <c r="X83" s="34">
        <v>20</v>
      </c>
    </row>
    <row r="84" spans="3:24" ht="15" customHeight="1" x14ac:dyDescent="0.25">
      <c r="C84" s="33" t="s">
        <v>14</v>
      </c>
      <c r="D84" s="33" t="s">
        <v>23</v>
      </c>
      <c r="E84" s="34">
        <f t="shared" si="45"/>
        <v>0</v>
      </c>
      <c r="G84" s="68"/>
      <c r="H84" s="68"/>
      <c r="I84" s="68"/>
      <c r="Q84" s="34">
        <v>5.7900000000000098</v>
      </c>
      <c r="R84" s="34">
        <v>15</v>
      </c>
      <c r="T84" s="34">
        <v>89</v>
      </c>
      <c r="U84" s="34">
        <v>15</v>
      </c>
      <c r="W84" s="34">
        <v>46</v>
      </c>
      <c r="X84" s="34">
        <v>15</v>
      </c>
    </row>
    <row r="85" spans="3:24" x14ac:dyDescent="0.25">
      <c r="C85" s="33" t="s">
        <v>15</v>
      </c>
      <c r="D85" s="33" t="s">
        <v>6</v>
      </c>
      <c r="E85" s="34">
        <f t="shared" si="45"/>
        <v>0</v>
      </c>
      <c r="G85" s="10"/>
      <c r="H85" s="47" t="s">
        <v>172</v>
      </c>
      <c r="I85" s="47" t="s">
        <v>154</v>
      </c>
      <c r="Q85" s="34">
        <v>5.8900000000000103</v>
      </c>
      <c r="R85" s="34">
        <v>10</v>
      </c>
      <c r="T85" s="34">
        <v>90</v>
      </c>
      <c r="U85" s="34">
        <v>10</v>
      </c>
      <c r="W85" s="34">
        <v>47</v>
      </c>
      <c r="X85" s="34">
        <v>10</v>
      </c>
    </row>
    <row r="86" spans="3:24" x14ac:dyDescent="0.25">
      <c r="C86" s="33" t="s">
        <v>173</v>
      </c>
      <c r="D86" s="33" t="s">
        <v>6</v>
      </c>
      <c r="E86" s="34">
        <f t="shared" si="45"/>
        <v>0</v>
      </c>
      <c r="G86" s="37" t="s">
        <v>35</v>
      </c>
      <c r="H86" s="38">
        <f t="shared" ref="H86:H94" si="46">N36</f>
        <v>0</v>
      </c>
      <c r="I86" s="39"/>
      <c r="Q86" s="34">
        <v>5.99000000000001</v>
      </c>
      <c r="R86" s="34">
        <v>5</v>
      </c>
      <c r="T86" s="34">
        <v>91</v>
      </c>
      <c r="U86" s="34">
        <v>5</v>
      </c>
      <c r="W86" s="34">
        <v>48</v>
      </c>
      <c r="X86" s="34">
        <v>5</v>
      </c>
    </row>
    <row r="87" spans="3:24" x14ac:dyDescent="0.25">
      <c r="C87" s="33" t="s">
        <v>17</v>
      </c>
      <c r="D87" s="33" t="s">
        <v>6</v>
      </c>
      <c r="E87" s="34">
        <f t="shared" si="45"/>
        <v>0</v>
      </c>
      <c r="G87" s="61" t="s">
        <v>174</v>
      </c>
      <c r="H87" s="60">
        <f t="shared" si="46"/>
        <v>0</v>
      </c>
      <c r="I87" s="39">
        <f>(H87/60%)*100</f>
        <v>0</v>
      </c>
    </row>
    <row r="88" spans="3:24" x14ac:dyDescent="0.25">
      <c r="C88" s="33" t="s">
        <v>18</v>
      </c>
      <c r="D88" s="33" t="s">
        <v>24</v>
      </c>
      <c r="E88" s="34">
        <f t="shared" si="45"/>
        <v>0</v>
      </c>
      <c r="G88" s="37" t="s">
        <v>175</v>
      </c>
      <c r="H88" s="60">
        <f t="shared" si="46"/>
        <v>0</v>
      </c>
      <c r="I88" s="39">
        <f>(H88/50%)*100</f>
        <v>0</v>
      </c>
      <c r="Q88" s="69" t="s">
        <v>177</v>
      </c>
      <c r="R88" s="70"/>
      <c r="T88" s="69" t="s">
        <v>178</v>
      </c>
      <c r="U88" s="70"/>
      <c r="W88" s="69" t="s">
        <v>179</v>
      </c>
      <c r="X88" s="70"/>
    </row>
    <row r="89" spans="3:24" x14ac:dyDescent="0.25">
      <c r="C89" s="33" t="s">
        <v>176</v>
      </c>
      <c r="D89" s="33" t="s">
        <v>23</v>
      </c>
      <c r="E89" s="34">
        <f t="shared" si="45"/>
        <v>0</v>
      </c>
      <c r="G89" s="37" t="s">
        <v>156</v>
      </c>
      <c r="H89" s="38">
        <f t="shared" si="46"/>
        <v>0</v>
      </c>
      <c r="I89" s="39"/>
      <c r="Q89" s="34">
        <v>1.67</v>
      </c>
      <c r="R89" s="34">
        <v>100</v>
      </c>
      <c r="T89" s="34">
        <v>43</v>
      </c>
      <c r="U89" s="34">
        <v>100</v>
      </c>
      <c r="W89" s="34">
        <v>47</v>
      </c>
      <c r="X89" s="34">
        <v>100</v>
      </c>
    </row>
    <row r="90" spans="3:24" x14ac:dyDescent="0.25">
      <c r="D90" s="36" t="s">
        <v>163</v>
      </c>
      <c r="E90" s="34">
        <f>SUM(E79:E89)</f>
        <v>0</v>
      </c>
      <c r="G90" s="37" t="s">
        <v>177</v>
      </c>
      <c r="H90" s="59">
        <f t="shared" si="46"/>
        <v>0</v>
      </c>
      <c r="I90" s="39"/>
      <c r="Q90" s="34">
        <v>1.77</v>
      </c>
      <c r="R90" s="34">
        <v>95</v>
      </c>
      <c r="T90" s="34">
        <v>45</v>
      </c>
      <c r="U90" s="34">
        <v>95</v>
      </c>
      <c r="W90" s="34">
        <v>49</v>
      </c>
      <c r="X90" s="34">
        <v>95</v>
      </c>
    </row>
    <row r="91" spans="3:24" x14ac:dyDescent="0.25">
      <c r="E91" s="19"/>
      <c r="G91" s="37" t="s">
        <v>180</v>
      </c>
      <c r="H91" s="58">
        <f t="shared" si="46"/>
        <v>0</v>
      </c>
      <c r="I91" s="39">
        <f>(H91/40%)*100</f>
        <v>0</v>
      </c>
      <c r="Q91" s="34">
        <v>1.87</v>
      </c>
      <c r="R91" s="34">
        <v>90</v>
      </c>
      <c r="T91" s="34">
        <v>47</v>
      </c>
      <c r="U91" s="34">
        <v>90</v>
      </c>
      <c r="W91" s="34">
        <v>51</v>
      </c>
      <c r="X91" s="34">
        <v>90</v>
      </c>
    </row>
    <row r="92" spans="3:24" x14ac:dyDescent="0.25">
      <c r="C92" s="6" t="s">
        <v>181</v>
      </c>
      <c r="D92" s="6" t="s">
        <v>21</v>
      </c>
      <c r="E92" s="6" t="s">
        <v>152</v>
      </c>
      <c r="G92" s="37" t="s">
        <v>182</v>
      </c>
      <c r="H92" s="58">
        <f t="shared" si="46"/>
        <v>0</v>
      </c>
      <c r="I92" s="39">
        <f>(H92/81%)*100</f>
        <v>0</v>
      </c>
      <c r="Q92" s="34">
        <v>2</v>
      </c>
      <c r="R92" s="34">
        <v>85</v>
      </c>
      <c r="T92" s="34">
        <v>49</v>
      </c>
      <c r="U92" s="34">
        <v>85</v>
      </c>
      <c r="W92" s="34">
        <v>53</v>
      </c>
      <c r="X92" s="34">
        <v>85</v>
      </c>
    </row>
    <row r="93" spans="3:24" x14ac:dyDescent="0.25">
      <c r="C93" s="33" t="s">
        <v>11</v>
      </c>
      <c r="D93" s="33" t="s">
        <v>23</v>
      </c>
      <c r="E93" s="34">
        <f>N24</f>
        <v>0</v>
      </c>
      <c r="G93" s="37" t="s">
        <v>183</v>
      </c>
      <c r="H93" s="38">
        <f t="shared" si="46"/>
        <v>0</v>
      </c>
      <c r="I93" s="39"/>
      <c r="Q93" s="34">
        <v>2.0699999999999998</v>
      </c>
      <c r="R93" s="34">
        <v>80</v>
      </c>
      <c r="T93" s="34">
        <v>51</v>
      </c>
      <c r="U93" s="34">
        <v>80</v>
      </c>
      <c r="W93" s="34">
        <v>55</v>
      </c>
      <c r="X93" s="34">
        <v>80</v>
      </c>
    </row>
    <row r="94" spans="3:24" x14ac:dyDescent="0.25">
      <c r="C94" s="33" t="s">
        <v>20</v>
      </c>
      <c r="D94" s="33" t="s">
        <v>6</v>
      </c>
      <c r="E94" s="34">
        <f>N25</f>
        <v>0</v>
      </c>
      <c r="G94" s="37" t="s">
        <v>184</v>
      </c>
      <c r="H94" s="38">
        <f t="shared" si="46"/>
        <v>0</v>
      </c>
      <c r="I94" s="39"/>
      <c r="Q94" s="34">
        <v>2.1850000000000001</v>
      </c>
      <c r="R94" s="34">
        <v>75</v>
      </c>
      <c r="T94" s="34">
        <v>53</v>
      </c>
      <c r="U94" s="34">
        <v>75</v>
      </c>
      <c r="W94" s="34">
        <v>57</v>
      </c>
      <c r="X94" s="34">
        <v>75</v>
      </c>
    </row>
    <row r="95" spans="3:24" x14ac:dyDescent="0.25">
      <c r="D95" s="36" t="s">
        <v>185</v>
      </c>
      <c r="E95" s="34">
        <f>SUM(E93:E94)</f>
        <v>0</v>
      </c>
      <c r="H95" s="48" t="s">
        <v>169</v>
      </c>
      <c r="I95" s="49">
        <f>SUM(I86:I94)</f>
        <v>0</v>
      </c>
      <c r="Q95" s="34">
        <v>2.2879999999999998</v>
      </c>
      <c r="R95" s="34">
        <v>70</v>
      </c>
      <c r="T95" s="34">
        <v>55</v>
      </c>
      <c r="U95" s="34">
        <v>70</v>
      </c>
      <c r="W95" s="34">
        <v>59</v>
      </c>
      <c r="X95" s="34">
        <v>70</v>
      </c>
    </row>
    <row r="96" spans="3:24" x14ac:dyDescent="0.25">
      <c r="E96" s="19"/>
      <c r="H96" s="43" t="s">
        <v>186</v>
      </c>
      <c r="I96" s="44">
        <f>(I95/900)*33</f>
        <v>0</v>
      </c>
      <c r="Q96" s="34">
        <v>2.391</v>
      </c>
      <c r="R96" s="34">
        <v>65</v>
      </c>
      <c r="T96" s="34">
        <v>57</v>
      </c>
      <c r="U96" s="34">
        <v>65</v>
      </c>
      <c r="W96" s="34">
        <v>61</v>
      </c>
      <c r="X96" s="34">
        <v>65</v>
      </c>
    </row>
    <row r="97" spans="3:24" x14ac:dyDescent="0.25">
      <c r="C97" s="6" t="s">
        <v>25</v>
      </c>
      <c r="D97" s="6" t="s">
        <v>187</v>
      </c>
      <c r="E97" s="6" t="s">
        <v>188</v>
      </c>
      <c r="Q97" s="34">
        <v>2.4940000000000002</v>
      </c>
      <c r="R97" s="34">
        <v>60</v>
      </c>
      <c r="T97" s="34">
        <v>59</v>
      </c>
      <c r="U97" s="34">
        <v>60</v>
      </c>
      <c r="W97" s="34">
        <v>63</v>
      </c>
      <c r="X97" s="34">
        <v>60</v>
      </c>
    </row>
    <row r="98" spans="3:24" x14ac:dyDescent="0.25">
      <c r="C98" s="33" t="s">
        <v>189</v>
      </c>
      <c r="D98" s="33" t="s">
        <v>14</v>
      </c>
      <c r="E98" s="34">
        <f>N27</f>
        <v>0</v>
      </c>
      <c r="G98" s="1" t="s">
        <v>190</v>
      </c>
      <c r="H98" s="1"/>
      <c r="I98" s="1"/>
      <c r="Q98" s="34">
        <v>2.597</v>
      </c>
      <c r="R98" s="34">
        <v>55</v>
      </c>
      <c r="T98" s="34">
        <v>61</v>
      </c>
      <c r="U98" s="34">
        <v>55</v>
      </c>
      <c r="W98" s="34">
        <v>65</v>
      </c>
      <c r="X98" s="34">
        <v>55</v>
      </c>
    </row>
    <row r="99" spans="3:24" x14ac:dyDescent="0.25">
      <c r="C99" s="33" t="s">
        <v>191</v>
      </c>
      <c r="D99" s="33" t="s">
        <v>13</v>
      </c>
      <c r="E99" s="34">
        <f>N28</f>
        <v>0</v>
      </c>
      <c r="G99" s="2" t="s">
        <v>192</v>
      </c>
      <c r="Q99" s="34">
        <v>2.7</v>
      </c>
      <c r="R99" s="34">
        <v>50</v>
      </c>
      <c r="T99" s="34">
        <v>63</v>
      </c>
      <c r="U99" s="34">
        <v>50</v>
      </c>
      <c r="W99" s="34">
        <v>67</v>
      </c>
      <c r="X99" s="34">
        <v>50</v>
      </c>
    </row>
    <row r="100" spans="3:24" x14ac:dyDescent="0.25">
      <c r="C100" s="33" t="s">
        <v>193</v>
      </c>
      <c r="D100" s="33" t="s">
        <v>12</v>
      </c>
      <c r="E100" s="34">
        <f>N29</f>
        <v>0</v>
      </c>
      <c r="G100" s="2" t="s">
        <v>194</v>
      </c>
      <c r="Q100" s="34">
        <v>2.8029999999999999</v>
      </c>
      <c r="R100" s="34">
        <v>45</v>
      </c>
      <c r="T100" s="34">
        <v>65</v>
      </c>
      <c r="U100" s="34">
        <v>45</v>
      </c>
      <c r="W100" s="34">
        <v>69</v>
      </c>
      <c r="X100" s="34">
        <v>45</v>
      </c>
    </row>
    <row r="101" spans="3:24" x14ac:dyDescent="0.25">
      <c r="E101" s="50" t="s">
        <v>166</v>
      </c>
      <c r="G101" s="2" t="s">
        <v>195</v>
      </c>
      <c r="Q101" s="34">
        <v>2.9060000000000001</v>
      </c>
      <c r="R101" s="34">
        <v>40</v>
      </c>
      <c r="T101" s="34">
        <v>67</v>
      </c>
      <c r="U101" s="34">
        <v>40</v>
      </c>
      <c r="W101" s="34">
        <v>71</v>
      </c>
      <c r="X101" s="34">
        <v>40</v>
      </c>
    </row>
    <row r="102" spans="3:24" x14ac:dyDescent="0.25">
      <c r="C102" s="33" t="s">
        <v>29</v>
      </c>
      <c r="D102" s="33" t="s">
        <v>12</v>
      </c>
      <c r="E102" s="34">
        <f>N30</f>
        <v>0</v>
      </c>
      <c r="G102" s="2" t="s">
        <v>196</v>
      </c>
      <c r="Q102" s="34">
        <v>3.0089999999999999</v>
      </c>
      <c r="R102" s="34">
        <v>35</v>
      </c>
      <c r="T102" s="34">
        <v>69</v>
      </c>
      <c r="U102" s="34">
        <v>35</v>
      </c>
      <c r="W102" s="34">
        <v>73</v>
      </c>
      <c r="X102" s="34">
        <v>35</v>
      </c>
    </row>
    <row r="103" spans="3:24" x14ac:dyDescent="0.25">
      <c r="C103" s="33" t="s">
        <v>30</v>
      </c>
      <c r="D103" s="33" t="s">
        <v>12</v>
      </c>
      <c r="E103" s="34">
        <f>N31</f>
        <v>0</v>
      </c>
      <c r="G103" s="2" t="s">
        <v>197</v>
      </c>
      <c r="H103" s="51">
        <f>1+E111+I81+I96</f>
        <v>1</v>
      </c>
      <c r="Q103" s="34">
        <v>3.1120000000000001</v>
      </c>
      <c r="R103" s="34">
        <v>30</v>
      </c>
      <c r="T103" s="34">
        <v>71</v>
      </c>
      <c r="U103" s="34">
        <v>30</v>
      </c>
      <c r="W103" s="34">
        <v>75</v>
      </c>
      <c r="X103" s="34">
        <v>30</v>
      </c>
    </row>
    <row r="104" spans="3:24" x14ac:dyDescent="0.25">
      <c r="C104" s="33" t="s">
        <v>31</v>
      </c>
      <c r="D104" s="33" t="s">
        <v>11</v>
      </c>
      <c r="E104" s="34">
        <f>N32</f>
        <v>0</v>
      </c>
      <c r="Q104" s="34">
        <v>3.2149999999999999</v>
      </c>
      <c r="R104" s="34">
        <v>25</v>
      </c>
      <c r="T104" s="34">
        <v>73</v>
      </c>
      <c r="U104" s="34">
        <v>25</v>
      </c>
      <c r="W104" s="34">
        <v>77</v>
      </c>
      <c r="X104" s="34">
        <v>25</v>
      </c>
    </row>
    <row r="105" spans="3:24" x14ac:dyDescent="0.25">
      <c r="C105" s="33" t="s">
        <v>32</v>
      </c>
      <c r="D105" s="33" t="s">
        <v>11</v>
      </c>
      <c r="E105" s="34">
        <f>N33</f>
        <v>0</v>
      </c>
      <c r="Q105" s="34">
        <v>3.3180000000000001</v>
      </c>
      <c r="R105" s="34">
        <v>20</v>
      </c>
      <c r="T105" s="34">
        <v>75</v>
      </c>
      <c r="U105" s="34">
        <v>20</v>
      </c>
      <c r="W105" s="34">
        <v>79</v>
      </c>
      <c r="X105" s="34">
        <v>20</v>
      </c>
    </row>
    <row r="106" spans="3:24" x14ac:dyDescent="0.25">
      <c r="D106" s="48"/>
      <c r="E106" s="50" t="s">
        <v>198</v>
      </c>
      <c r="Q106" s="34">
        <v>3.4209999999999998</v>
      </c>
      <c r="R106" s="34">
        <v>15</v>
      </c>
      <c r="T106" s="34">
        <v>77</v>
      </c>
      <c r="U106" s="34">
        <v>15</v>
      </c>
      <c r="W106" s="34">
        <v>81</v>
      </c>
      <c r="X106" s="34">
        <v>15</v>
      </c>
    </row>
    <row r="107" spans="3:24" x14ac:dyDescent="0.25">
      <c r="C107" s="64" t="s">
        <v>199</v>
      </c>
      <c r="D107" s="52" t="s">
        <v>12</v>
      </c>
      <c r="E107" s="34">
        <f>N34</f>
        <v>0</v>
      </c>
      <c r="Q107" s="34">
        <v>3.524</v>
      </c>
      <c r="R107" s="34">
        <v>10</v>
      </c>
      <c r="T107" s="34">
        <v>79</v>
      </c>
      <c r="U107" s="34">
        <v>10</v>
      </c>
      <c r="W107" s="34">
        <v>83</v>
      </c>
      <c r="X107" s="34">
        <v>10</v>
      </c>
    </row>
    <row r="108" spans="3:24" x14ac:dyDescent="0.25">
      <c r="D108" s="36" t="s">
        <v>185</v>
      </c>
      <c r="E108" s="34">
        <f>SUM(E98:E107)</f>
        <v>0</v>
      </c>
      <c r="Q108" s="34">
        <v>3.6269999999999998</v>
      </c>
      <c r="R108" s="34">
        <v>5</v>
      </c>
      <c r="T108" s="34">
        <v>81</v>
      </c>
      <c r="U108" s="34">
        <v>5</v>
      </c>
      <c r="W108" s="34">
        <v>85</v>
      </c>
      <c r="X108" s="34">
        <v>5</v>
      </c>
    </row>
    <row r="110" spans="3:24" x14ac:dyDescent="0.25">
      <c r="D110" s="36" t="s">
        <v>200</v>
      </c>
      <c r="E110" s="6">
        <f>SUM(E76+E90+E95+E108)</f>
        <v>0</v>
      </c>
    </row>
    <row r="111" spans="3:24" x14ac:dyDescent="0.25">
      <c r="D111" s="43" t="s">
        <v>201</v>
      </c>
      <c r="E111" s="44">
        <f>(E110/123)*33</f>
        <v>0</v>
      </c>
    </row>
  </sheetData>
  <autoFilter ref="A3:L59"/>
  <mergeCells count="10">
    <mergeCell ref="G83:I84"/>
    <mergeCell ref="Q88:R88"/>
    <mergeCell ref="T88:U88"/>
    <mergeCell ref="W88:X88"/>
    <mergeCell ref="A1:O1"/>
    <mergeCell ref="N2:O2"/>
    <mergeCell ref="A65:L65"/>
    <mergeCell ref="Q66:R66"/>
    <mergeCell ref="T66:U66"/>
    <mergeCell ref="W66:X66"/>
  </mergeCells>
  <conditionalFormatting sqref="C4">
    <cfRule type="cellIs" dxfId="611" priority="603" operator="greaterThan">
      <formula>3</formula>
    </cfRule>
    <cfRule type="cellIs" dxfId="610" priority="604" operator="lessThan">
      <formula>3</formula>
    </cfRule>
    <cfRule type="cellIs" dxfId="609" priority="612" operator="equal">
      <formula>3</formula>
    </cfRule>
  </conditionalFormatting>
  <conditionalFormatting sqref="C5">
    <cfRule type="cellIs" dxfId="608" priority="602" operator="lessThan">
      <formula>2</formula>
    </cfRule>
    <cfRule type="cellIs" dxfId="607" priority="610" operator="greaterThan">
      <formula>2</formula>
    </cfRule>
    <cfRule type="cellIs" dxfId="606" priority="611" operator="equal">
      <formula>2</formula>
    </cfRule>
  </conditionalFormatting>
  <conditionalFormatting sqref="C6:D6">
    <cfRule type="cellIs" dxfId="605" priority="601" operator="lessThan">
      <formula>2</formula>
    </cfRule>
    <cfRule type="cellIs" dxfId="604" priority="609" operator="greaterThan">
      <formula>1.9</formula>
    </cfRule>
  </conditionalFormatting>
  <conditionalFormatting sqref="C7:D7">
    <cfRule type="cellIs" dxfId="603" priority="600" operator="lessThan">
      <formula>1</formula>
    </cfRule>
    <cfRule type="cellIs" dxfId="602" priority="608" operator="greaterThan">
      <formula>0.9</formula>
    </cfRule>
  </conditionalFormatting>
  <conditionalFormatting sqref="C8:D8">
    <cfRule type="cellIs" dxfId="601" priority="597" operator="greaterThan">
      <formula>0.9</formula>
    </cfRule>
    <cfRule type="cellIs" dxfId="600" priority="598" operator="greaterThan">
      <formula>1</formula>
    </cfRule>
    <cfRule type="cellIs" dxfId="599" priority="607" operator="equal">
      <formula>0</formula>
    </cfRule>
  </conditionalFormatting>
  <conditionalFormatting sqref="C9">
    <cfRule type="cellIs" dxfId="598" priority="606" operator="greaterThan">
      <formula>0</formula>
    </cfRule>
  </conditionalFormatting>
  <conditionalFormatting sqref="C10">
    <cfRule type="cellIs" dxfId="597" priority="605" operator="greaterThan">
      <formula>0</formula>
    </cfRule>
  </conditionalFormatting>
  <conditionalFormatting sqref="C9:C10">
    <cfRule type="cellIs" dxfId="596" priority="599" operator="equal">
      <formula>0</formula>
    </cfRule>
  </conditionalFormatting>
  <conditionalFormatting sqref="L4">
    <cfRule type="cellIs" dxfId="595" priority="596" operator="lessThan">
      <formula>4</formula>
    </cfRule>
  </conditionalFormatting>
  <conditionalFormatting sqref="L5:L7">
    <cfRule type="cellIs" dxfId="594" priority="595" operator="lessThan">
      <formula>4</formula>
    </cfRule>
  </conditionalFormatting>
  <conditionalFormatting sqref="L8">
    <cfRule type="cellIs" dxfId="593" priority="591" operator="greaterThan">
      <formula>1.9</formula>
    </cfRule>
    <cfRule type="cellIs" dxfId="592" priority="594" operator="lessThan">
      <formula>2</formula>
    </cfRule>
  </conditionalFormatting>
  <conditionalFormatting sqref="L9:L10">
    <cfRule type="cellIs" dxfId="591" priority="590" operator="greaterThan">
      <formula>2.9</formula>
    </cfRule>
    <cfRule type="cellIs" dxfId="590" priority="593" operator="lessThan">
      <formula>3</formula>
    </cfRule>
  </conditionalFormatting>
  <conditionalFormatting sqref="L4:L7">
    <cfRule type="cellIs" dxfId="589" priority="592" operator="greaterThan">
      <formula>3.9</formula>
    </cfRule>
  </conditionalFormatting>
  <conditionalFormatting sqref="L12:L15">
    <cfRule type="cellIs" dxfId="588" priority="588" operator="lessThan">
      <formula>3.9</formula>
    </cfRule>
    <cfRule type="cellIs" dxfId="587" priority="589" operator="greaterThan">
      <formula>3.9</formula>
    </cfRule>
  </conditionalFormatting>
  <conditionalFormatting sqref="L18:L21">
    <cfRule type="cellIs" dxfId="586" priority="586" operator="lessThan">
      <formula>2.9</formula>
    </cfRule>
    <cfRule type="cellIs" dxfId="585" priority="587" operator="greaterThan">
      <formula>2.9</formula>
    </cfRule>
  </conditionalFormatting>
  <conditionalFormatting sqref="L16">
    <cfRule type="cellIs" dxfId="584" priority="584" operator="lessThan">
      <formula>2.9</formula>
    </cfRule>
    <cfRule type="cellIs" dxfId="583" priority="585" operator="greaterThan">
      <formula>2.9</formula>
    </cfRule>
  </conditionalFormatting>
  <conditionalFormatting sqref="L17">
    <cfRule type="cellIs" dxfId="582" priority="582" operator="lessThan">
      <formula>1.9</formula>
    </cfRule>
    <cfRule type="cellIs" dxfId="581" priority="583" operator="greaterThan">
      <formula>1.9</formula>
    </cfRule>
  </conditionalFormatting>
  <conditionalFormatting sqref="L22">
    <cfRule type="cellIs" dxfId="580" priority="580" operator="lessThan">
      <formula>3.9</formula>
    </cfRule>
    <cfRule type="cellIs" dxfId="579" priority="581" operator="greaterThan">
      <formula>3.9</formula>
    </cfRule>
  </conditionalFormatting>
  <conditionalFormatting sqref="K12:K14">
    <cfRule type="cellIs" dxfId="578" priority="578" operator="lessThan">
      <formula>3.9</formula>
    </cfRule>
    <cfRule type="cellIs" dxfId="577" priority="579" operator="greaterThan">
      <formula>3.9</formula>
    </cfRule>
  </conditionalFormatting>
  <conditionalFormatting sqref="J12:J13">
    <cfRule type="cellIs" dxfId="576" priority="576" operator="lessThan">
      <formula>3.9</formula>
    </cfRule>
    <cfRule type="cellIs" dxfId="575" priority="577" operator="greaterThan">
      <formula>3.9</formula>
    </cfRule>
  </conditionalFormatting>
  <conditionalFormatting sqref="I12:I13">
    <cfRule type="cellIs" dxfId="574" priority="574" operator="lessThan">
      <formula>3.9</formula>
    </cfRule>
    <cfRule type="cellIs" dxfId="573" priority="575" operator="greaterThan">
      <formula>3.9</formula>
    </cfRule>
  </conditionalFormatting>
  <conditionalFormatting sqref="H12:H13">
    <cfRule type="cellIs" dxfId="572" priority="572" operator="lessThan">
      <formula>3.9</formula>
    </cfRule>
    <cfRule type="cellIs" dxfId="571" priority="573" operator="greaterThan">
      <formula>3.9</formula>
    </cfRule>
  </conditionalFormatting>
  <conditionalFormatting sqref="G12:G13">
    <cfRule type="cellIs" dxfId="570" priority="570" operator="lessThan">
      <formula>3.9</formula>
    </cfRule>
    <cfRule type="cellIs" dxfId="569" priority="571" operator="greaterThan">
      <formula>3.9</formula>
    </cfRule>
  </conditionalFormatting>
  <conditionalFormatting sqref="L24">
    <cfRule type="cellIs" dxfId="568" priority="568" operator="lessThan">
      <formula>3.9</formula>
    </cfRule>
    <cfRule type="cellIs" dxfId="567" priority="569" operator="greaterThan">
      <formula>3.9</formula>
    </cfRule>
  </conditionalFormatting>
  <conditionalFormatting sqref="L25">
    <cfRule type="cellIs" dxfId="566" priority="566" operator="lessThan">
      <formula>2.9</formula>
    </cfRule>
    <cfRule type="cellIs" dxfId="565" priority="567" operator="greaterThan">
      <formula>2.9</formula>
    </cfRule>
  </conditionalFormatting>
  <conditionalFormatting sqref="L27:L29">
    <cfRule type="cellIs" dxfId="564" priority="564" operator="lessThan">
      <formula>4.9</formula>
    </cfRule>
    <cfRule type="cellIs" dxfId="563" priority="565" operator="greaterThan">
      <formula>4.9</formula>
    </cfRule>
  </conditionalFormatting>
  <conditionalFormatting sqref="L30">
    <cfRule type="cellIs" dxfId="562" priority="562" operator="lessThan">
      <formula>2.9</formula>
    </cfRule>
    <cfRule type="cellIs" dxfId="561" priority="563" operator="greaterThan">
      <formula>2.9</formula>
    </cfRule>
  </conditionalFormatting>
  <conditionalFormatting sqref="L31">
    <cfRule type="cellIs" dxfId="560" priority="560" operator="lessThan">
      <formula>2.9</formula>
    </cfRule>
    <cfRule type="cellIs" dxfId="559" priority="561" operator="greaterThan">
      <formula>2.9</formula>
    </cfRule>
  </conditionalFormatting>
  <conditionalFormatting sqref="L32">
    <cfRule type="cellIs" dxfId="558" priority="558" operator="lessThan">
      <formula>2.9</formula>
    </cfRule>
    <cfRule type="cellIs" dxfId="557" priority="559" operator="greaterThan">
      <formula>2.9</formula>
    </cfRule>
  </conditionalFormatting>
  <conditionalFormatting sqref="L33">
    <cfRule type="cellIs" dxfId="556" priority="556" operator="lessThan">
      <formula>2.9</formula>
    </cfRule>
    <cfRule type="cellIs" dxfId="555" priority="557" operator="greaterThan">
      <formula>2.9</formula>
    </cfRule>
  </conditionalFormatting>
  <conditionalFormatting sqref="L34">
    <cfRule type="cellIs" dxfId="554" priority="554" operator="lessThan">
      <formula>6.9</formula>
    </cfRule>
    <cfRule type="cellIs" dxfId="553" priority="555" operator="greaterThan">
      <formula>6.9</formula>
    </cfRule>
  </conditionalFormatting>
  <conditionalFormatting sqref="L36">
    <cfRule type="cellIs" dxfId="552" priority="551" operator="equal">
      <formula>2</formula>
    </cfRule>
    <cfRule type="cellIs" dxfId="551" priority="552" operator="lessThan">
      <formula>2</formula>
    </cfRule>
    <cfRule type="cellIs" dxfId="550" priority="553" operator="greaterThan">
      <formula>2</formula>
    </cfRule>
  </conditionalFormatting>
  <conditionalFormatting sqref="L37">
    <cfRule type="cellIs" dxfId="549" priority="549" operator="lessThan">
      <formula>0.599</formula>
    </cfRule>
    <cfRule type="cellIs" dxfId="548" priority="550" operator="greaterThan">
      <formula>0.599</formula>
    </cfRule>
  </conditionalFormatting>
  <conditionalFormatting sqref="L38">
    <cfRule type="cellIs" dxfId="547" priority="547" operator="lessThan">
      <formula>0.499</formula>
    </cfRule>
    <cfRule type="cellIs" dxfId="546" priority="548" operator="greaterThan">
      <formula>0.499</formula>
    </cfRule>
  </conditionalFormatting>
  <conditionalFormatting sqref="L39">
    <cfRule type="cellIs" dxfId="545" priority="544" operator="equal">
      <formula>30</formula>
    </cfRule>
    <cfRule type="cellIs" dxfId="544" priority="545" operator="greaterThan">
      <formula>30</formula>
    </cfRule>
    <cfRule type="cellIs" dxfId="543" priority="546" operator="lessThan">
      <formula>30</formula>
    </cfRule>
  </conditionalFormatting>
  <conditionalFormatting sqref="L40">
    <cfRule type="cellIs" dxfId="542" priority="542" operator="greaterThan">
      <formula>1.67</formula>
    </cfRule>
    <cfRule type="cellIs" dxfId="541" priority="543" operator="lessThan">
      <formula>1.68</formula>
    </cfRule>
  </conditionalFormatting>
  <conditionalFormatting sqref="L41">
    <cfRule type="cellIs" dxfId="540" priority="540" operator="lessThan">
      <formula>0.4</formula>
    </cfRule>
    <cfRule type="cellIs" dxfId="539" priority="541" operator="greaterThan">
      <formula>0.399</formula>
    </cfRule>
  </conditionalFormatting>
  <conditionalFormatting sqref="L42">
    <cfRule type="cellIs" dxfId="538" priority="537" operator="equal">
      <formula>0.8</formula>
    </cfRule>
    <cfRule type="cellIs" dxfId="537" priority="538" operator="lessThan">
      <formula>0.8</formula>
    </cfRule>
    <cfRule type="cellIs" dxfId="536" priority="539" operator="greaterThan">
      <formula>0.8</formula>
    </cfRule>
  </conditionalFormatting>
  <conditionalFormatting sqref="K43:L43">
    <cfRule type="cellIs" dxfId="535" priority="535" operator="greaterThan">
      <formula>42</formula>
    </cfRule>
    <cfRule type="cellIs" dxfId="534" priority="536" operator="lessThan">
      <formula>43</formula>
    </cfRule>
  </conditionalFormatting>
  <conditionalFormatting sqref="K44:L44">
    <cfRule type="cellIs" dxfId="533" priority="533" operator="greaterThan">
      <formula>46</formula>
    </cfRule>
    <cfRule type="cellIs" dxfId="532" priority="534" operator="lessThan">
      <formula>47</formula>
    </cfRule>
  </conditionalFormatting>
  <conditionalFormatting sqref="L46">
    <cfRule type="cellIs" dxfId="531" priority="531" operator="lessThan">
      <formula>19</formula>
    </cfRule>
    <cfRule type="cellIs" dxfId="530" priority="532" operator="greaterThan">
      <formula>18</formula>
    </cfRule>
  </conditionalFormatting>
  <conditionalFormatting sqref="L47">
    <cfRule type="cellIs" dxfId="529" priority="529" operator="lessThan">
      <formula>45</formula>
    </cfRule>
    <cfRule type="cellIs" dxfId="528" priority="530" operator="greaterThan">
      <formula>44</formula>
    </cfRule>
  </conditionalFormatting>
  <conditionalFormatting sqref="L48">
    <cfRule type="cellIs" dxfId="527" priority="527" operator="lessThan">
      <formula>15</formula>
    </cfRule>
    <cfRule type="cellIs" dxfId="526" priority="528" operator="greaterThan">
      <formula>14</formula>
    </cfRule>
  </conditionalFormatting>
  <conditionalFormatting sqref="L49">
    <cfRule type="cellIs" dxfId="525" priority="525" operator="lessThan">
      <formula>44</formula>
    </cfRule>
    <cfRule type="cellIs" dxfId="524" priority="526" operator="greaterThan">
      <formula>44</formula>
    </cfRule>
  </conditionalFormatting>
  <conditionalFormatting sqref="L52:L53">
    <cfRule type="cellIs" dxfId="523" priority="523" operator="lessThan">
      <formula>240</formula>
    </cfRule>
    <cfRule type="cellIs" dxfId="522" priority="524" operator="greaterThan">
      <formula>239</formula>
    </cfRule>
  </conditionalFormatting>
  <conditionalFormatting sqref="L56">
    <cfRule type="cellIs" dxfId="521" priority="521" operator="lessThan">
      <formula>4.1</formula>
    </cfRule>
    <cfRule type="cellIs" dxfId="520" priority="522" operator="greaterThan">
      <formula>4.09</formula>
    </cfRule>
  </conditionalFormatting>
  <conditionalFormatting sqref="L58:L59">
    <cfRule type="cellIs" dxfId="519" priority="519" operator="lessThan">
      <formula>0.81</formula>
    </cfRule>
    <cfRule type="cellIs" dxfId="518" priority="520" operator="greaterThan">
      <formula>0.8</formula>
    </cfRule>
  </conditionalFormatting>
  <conditionalFormatting sqref="K4:K7">
    <cfRule type="cellIs" dxfId="517" priority="518" operator="lessThan">
      <formula>4</formula>
    </cfRule>
  </conditionalFormatting>
  <conditionalFormatting sqref="K4:K7">
    <cfRule type="cellIs" dxfId="516" priority="517" operator="greaterThan">
      <formula>3.9</formula>
    </cfRule>
  </conditionalFormatting>
  <conditionalFormatting sqref="K8">
    <cfRule type="cellIs" dxfId="515" priority="514" operator="greaterThan">
      <formula>1.9</formula>
    </cfRule>
    <cfRule type="cellIs" dxfId="514" priority="516" operator="lessThan">
      <formula>2</formula>
    </cfRule>
  </conditionalFormatting>
  <conditionalFormatting sqref="K9:K10">
    <cfRule type="cellIs" dxfId="513" priority="513" operator="greaterThan">
      <formula>2.9</formula>
    </cfRule>
    <cfRule type="cellIs" dxfId="512" priority="515" operator="lessThan">
      <formula>3</formula>
    </cfRule>
  </conditionalFormatting>
  <conditionalFormatting sqref="I4:J7 F4:H6 E4:E5">
    <cfRule type="cellIs" dxfId="511" priority="512" operator="lessThan">
      <formula>4</formula>
    </cfRule>
  </conditionalFormatting>
  <conditionalFormatting sqref="I4:J7 F4:H6 E4:E5">
    <cfRule type="cellIs" dxfId="510" priority="511" operator="greaterThan">
      <formula>3.9</formula>
    </cfRule>
  </conditionalFormatting>
  <conditionalFormatting sqref="J8">
    <cfRule type="cellIs" dxfId="509" priority="508" operator="greaterThan">
      <formula>1.9</formula>
    </cfRule>
    <cfRule type="cellIs" dxfId="508" priority="510" operator="lessThan">
      <formula>2</formula>
    </cfRule>
  </conditionalFormatting>
  <conditionalFormatting sqref="J9:J10">
    <cfRule type="cellIs" dxfId="507" priority="507" operator="greaterThan">
      <formula>2.9</formula>
    </cfRule>
    <cfRule type="cellIs" dxfId="506" priority="509" operator="lessThan">
      <formula>3</formula>
    </cfRule>
  </conditionalFormatting>
  <conditionalFormatting sqref="F12">
    <cfRule type="cellIs" dxfId="505" priority="505" operator="lessThan">
      <formula>2.9</formula>
    </cfRule>
    <cfRule type="cellIs" dxfId="504" priority="506" operator="greaterThan">
      <formula>2.9</formula>
    </cfRule>
  </conditionalFormatting>
  <conditionalFormatting sqref="F13">
    <cfRule type="cellIs" dxfId="503" priority="503" operator="lessThan">
      <formula>2.9</formula>
    </cfRule>
    <cfRule type="cellIs" dxfId="502" priority="504" operator="greaterThan">
      <formula>2.9</formula>
    </cfRule>
  </conditionalFormatting>
  <conditionalFormatting sqref="K15">
    <cfRule type="cellIs" dxfId="501" priority="501" operator="lessThan">
      <formula>2.9</formula>
    </cfRule>
    <cfRule type="cellIs" dxfId="500" priority="502" operator="greaterThan">
      <formula>2.9</formula>
    </cfRule>
  </conditionalFormatting>
  <conditionalFormatting sqref="J14">
    <cfRule type="cellIs" dxfId="499" priority="499" operator="lessThan">
      <formula>2.9</formula>
    </cfRule>
    <cfRule type="cellIs" dxfId="498" priority="500" operator="greaterThan">
      <formula>2.9</formula>
    </cfRule>
  </conditionalFormatting>
  <conditionalFormatting sqref="I16:K16 J15 I14:I15 I17:J20 K17:K21">
    <cfRule type="cellIs" dxfId="497" priority="497" operator="lessThan">
      <formula>1.9</formula>
    </cfRule>
    <cfRule type="cellIs" dxfId="496" priority="498" operator="greaterThan">
      <formula>1.9</formula>
    </cfRule>
  </conditionalFormatting>
  <conditionalFormatting sqref="G14:H14">
    <cfRule type="cellIs" dxfId="495" priority="495" operator="lessThan">
      <formula>1.9</formula>
    </cfRule>
    <cfRule type="cellIs" dxfId="494" priority="496" operator="greaterThan">
      <formula>1.9</formula>
    </cfRule>
  </conditionalFormatting>
  <conditionalFormatting sqref="E6">
    <cfRule type="cellIs" dxfId="493" priority="493" operator="lessThan">
      <formula>2.9</formula>
    </cfRule>
    <cfRule type="cellIs" dxfId="492" priority="494" operator="greaterThan">
      <formula>2.9</formula>
    </cfRule>
  </conditionalFormatting>
  <conditionalFormatting sqref="K22">
    <cfRule type="cellIs" dxfId="491" priority="491" operator="lessThan">
      <formula>2.9</formula>
    </cfRule>
    <cfRule type="cellIs" dxfId="490" priority="492" operator="greaterThan">
      <formula>2.9</formula>
    </cfRule>
  </conditionalFormatting>
  <conditionalFormatting sqref="H7">
    <cfRule type="cellIs" dxfId="489" priority="489" operator="lessThan">
      <formula>2.9</formula>
    </cfRule>
    <cfRule type="cellIs" dxfId="488" priority="490" operator="greaterThan">
      <formula>2.9</formula>
    </cfRule>
  </conditionalFormatting>
  <conditionalFormatting sqref="I22:J22">
    <cfRule type="cellIs" dxfId="487" priority="487" operator="lessThan">
      <formula>1.9</formula>
    </cfRule>
    <cfRule type="cellIs" dxfId="486" priority="488" operator="greaterThan">
      <formula>1.9</formula>
    </cfRule>
  </conditionalFormatting>
  <conditionalFormatting sqref="E12:E13">
    <cfRule type="cellIs" dxfId="485" priority="485" operator="lessThan">
      <formula>1.9</formula>
    </cfRule>
    <cfRule type="cellIs" dxfId="484" priority="486" operator="greaterThan">
      <formula>1.9</formula>
    </cfRule>
  </conditionalFormatting>
  <conditionalFormatting sqref="G9:I10">
    <cfRule type="cellIs" dxfId="483" priority="483" operator="lessThan">
      <formula>1.9</formula>
    </cfRule>
    <cfRule type="cellIs" dxfId="482" priority="484" operator="greaterThan">
      <formula>1.9</formula>
    </cfRule>
  </conditionalFormatting>
  <conditionalFormatting sqref="G7">
    <cfRule type="cellIs" dxfId="481" priority="481" operator="lessThan">
      <formula>1.9</formula>
    </cfRule>
    <cfRule type="cellIs" dxfId="480" priority="482" operator="greaterThan">
      <formula>1.9</formula>
    </cfRule>
  </conditionalFormatting>
  <conditionalFormatting sqref="E8:I8 E9:F10 E7:F7">
    <cfRule type="cellIs" dxfId="479" priority="479" operator="lessThan">
      <formula>1</formula>
    </cfRule>
    <cfRule type="cellIs" dxfId="478" priority="480" operator="greaterThan">
      <formula>0.9</formula>
    </cfRule>
  </conditionalFormatting>
  <conditionalFormatting sqref="D4:D5">
    <cfRule type="cellIs" dxfId="477" priority="477" operator="lessThan">
      <formula>2.9</formula>
    </cfRule>
    <cfRule type="cellIs" dxfId="476" priority="478" operator="greaterThan">
      <formula>2.9</formula>
    </cfRule>
  </conditionalFormatting>
  <conditionalFormatting sqref="C12:D17">
    <cfRule type="cellIs" dxfId="475" priority="475" operator="lessThan">
      <formula>1</formula>
    </cfRule>
    <cfRule type="cellIs" dxfId="474" priority="476" operator="greaterThan">
      <formula>0.9</formula>
    </cfRule>
  </conditionalFormatting>
  <conditionalFormatting sqref="E14:E19">
    <cfRule type="cellIs" dxfId="473" priority="473" operator="lessThan">
      <formula>1</formula>
    </cfRule>
    <cfRule type="cellIs" dxfId="472" priority="474" operator="greaterThan">
      <formula>0.9</formula>
    </cfRule>
  </conditionalFormatting>
  <conditionalFormatting sqref="F14:F22">
    <cfRule type="cellIs" dxfId="471" priority="471" operator="lessThan">
      <formula>1</formula>
    </cfRule>
    <cfRule type="cellIs" dxfId="470" priority="472" operator="greaterThan">
      <formula>0.9</formula>
    </cfRule>
  </conditionalFormatting>
  <conditionalFormatting sqref="G15:G22">
    <cfRule type="cellIs" dxfId="469" priority="469" operator="lessThan">
      <formula>1</formula>
    </cfRule>
    <cfRule type="cellIs" dxfId="468" priority="470" operator="greaterThan">
      <formula>0.9</formula>
    </cfRule>
  </conditionalFormatting>
  <conditionalFormatting sqref="H15:H22 I21:J21">
    <cfRule type="cellIs" dxfId="467" priority="467" operator="lessThan">
      <formula>1</formula>
    </cfRule>
    <cfRule type="cellIs" dxfId="466" priority="468" operator="greaterThan">
      <formula>0.9</formula>
    </cfRule>
  </conditionalFormatting>
  <conditionalFormatting sqref="E20:E22 D18:D22">
    <cfRule type="cellIs" dxfId="465" priority="466" operator="greaterThan">
      <formula>0</formula>
    </cfRule>
  </conditionalFormatting>
  <conditionalFormatting sqref="E20:E22 D18:D22">
    <cfRule type="cellIs" dxfId="464" priority="465" operator="equal">
      <formula>0</formula>
    </cfRule>
  </conditionalFormatting>
  <conditionalFormatting sqref="C18:C22">
    <cfRule type="cellIs" dxfId="463" priority="464" operator="greaterThan">
      <formula>0</formula>
    </cfRule>
  </conditionalFormatting>
  <conditionalFormatting sqref="C18:C22">
    <cfRule type="cellIs" dxfId="462" priority="463" operator="equal">
      <formula>0</formula>
    </cfRule>
  </conditionalFormatting>
  <conditionalFormatting sqref="D9:D10">
    <cfRule type="cellIs" dxfId="461" priority="461" operator="lessThan">
      <formula>1</formula>
    </cfRule>
    <cfRule type="cellIs" dxfId="460" priority="462" operator="greaterThan">
      <formula>0.9</formula>
    </cfRule>
  </conditionalFormatting>
  <conditionalFormatting sqref="D24:D25 E25">
    <cfRule type="cellIs" dxfId="459" priority="460" operator="greaterThan">
      <formula>0</formula>
    </cfRule>
  </conditionalFormatting>
  <conditionalFormatting sqref="D24:D25 E25">
    <cfRule type="cellIs" dxfId="458" priority="459" operator="equal">
      <formula>0</formula>
    </cfRule>
  </conditionalFormatting>
  <conditionalFormatting sqref="E24">
    <cfRule type="cellIs" dxfId="457" priority="457" operator="lessThan">
      <formula>1</formula>
    </cfRule>
    <cfRule type="cellIs" dxfId="456" priority="458" operator="greaterThan">
      <formula>0.9</formula>
    </cfRule>
  </conditionalFormatting>
  <conditionalFormatting sqref="F24">
    <cfRule type="cellIs" dxfId="455" priority="455" operator="lessThan">
      <formula>1.9</formula>
    </cfRule>
    <cfRule type="cellIs" dxfId="454" priority="456" operator="greaterThan">
      <formula>1.9</formula>
    </cfRule>
  </conditionalFormatting>
  <conditionalFormatting sqref="G24:H25 I25:J25">
    <cfRule type="cellIs" dxfId="453" priority="453" operator="lessThan">
      <formula>1.9</formula>
    </cfRule>
    <cfRule type="cellIs" dxfId="452" priority="454" operator="greaterThan">
      <formula>1.9</formula>
    </cfRule>
  </conditionalFormatting>
  <conditionalFormatting sqref="C24">
    <cfRule type="cellIs" dxfId="451" priority="452" operator="greaterThan">
      <formula>0</formula>
    </cfRule>
  </conditionalFormatting>
  <conditionalFormatting sqref="C24">
    <cfRule type="cellIs" dxfId="450" priority="451" operator="equal">
      <formula>0</formula>
    </cfRule>
  </conditionalFormatting>
  <conditionalFormatting sqref="C25">
    <cfRule type="cellIs" dxfId="449" priority="450" operator="greaterThan">
      <formula>0</formula>
    </cfRule>
  </conditionalFormatting>
  <conditionalFormatting sqref="C25">
    <cfRule type="cellIs" dxfId="448" priority="449" operator="equal">
      <formula>0</formula>
    </cfRule>
  </conditionalFormatting>
  <conditionalFormatting sqref="I24">
    <cfRule type="cellIs" dxfId="447" priority="447" operator="lessThan">
      <formula>2.9</formula>
    </cfRule>
    <cfRule type="cellIs" dxfId="446" priority="448" operator="greaterThan">
      <formula>2.9</formula>
    </cfRule>
  </conditionalFormatting>
  <conditionalFormatting sqref="J24">
    <cfRule type="cellIs" dxfId="445" priority="445" operator="lessThan">
      <formula>2.9</formula>
    </cfRule>
    <cfRule type="cellIs" dxfId="444" priority="446" operator="greaterThan">
      <formula>2.9</formula>
    </cfRule>
  </conditionalFormatting>
  <conditionalFormatting sqref="K24">
    <cfRule type="cellIs" dxfId="443" priority="443" operator="lessThan">
      <formula>2.9</formula>
    </cfRule>
    <cfRule type="cellIs" dxfId="442" priority="444" operator="greaterThan">
      <formula>2.9</formula>
    </cfRule>
  </conditionalFormatting>
  <conditionalFormatting sqref="F25">
    <cfRule type="cellIs" dxfId="441" priority="441" operator="lessThan">
      <formula>1</formula>
    </cfRule>
    <cfRule type="cellIs" dxfId="440" priority="442" operator="greaterThan">
      <formula>0.9</formula>
    </cfRule>
  </conditionalFormatting>
  <conditionalFormatting sqref="K25">
    <cfRule type="cellIs" dxfId="439" priority="439" operator="lessThan">
      <formula>2.9</formula>
    </cfRule>
    <cfRule type="cellIs" dxfId="438" priority="440" operator="greaterThan">
      <formula>2.9</formula>
    </cfRule>
  </conditionalFormatting>
  <conditionalFormatting sqref="D27">
    <cfRule type="cellIs" dxfId="437" priority="437" operator="lessThan">
      <formula>1</formula>
    </cfRule>
    <cfRule type="cellIs" dxfId="436" priority="438" operator="greaterThan">
      <formula>0.9</formula>
    </cfRule>
  </conditionalFormatting>
  <conditionalFormatting sqref="D28">
    <cfRule type="cellIs" dxfId="435" priority="435" operator="lessThan">
      <formula>1</formula>
    </cfRule>
    <cfRule type="cellIs" dxfId="434" priority="436" operator="greaterThan">
      <formula>0.9</formula>
    </cfRule>
  </conditionalFormatting>
  <conditionalFormatting sqref="D29">
    <cfRule type="cellIs" dxfId="433" priority="433" operator="lessThan">
      <formula>1</formula>
    </cfRule>
    <cfRule type="cellIs" dxfId="432" priority="434" operator="greaterThan">
      <formula>0.9</formula>
    </cfRule>
  </conditionalFormatting>
  <conditionalFormatting sqref="E29">
    <cfRule type="cellIs" dxfId="431" priority="431" operator="lessThan">
      <formula>1</formula>
    </cfRule>
    <cfRule type="cellIs" dxfId="430" priority="432" operator="greaterThan">
      <formula>0.9</formula>
    </cfRule>
  </conditionalFormatting>
  <conditionalFormatting sqref="E28">
    <cfRule type="cellIs" dxfId="429" priority="429" operator="lessThan">
      <formula>1</formula>
    </cfRule>
    <cfRule type="cellIs" dxfId="428" priority="430" operator="greaterThan">
      <formula>0.9</formula>
    </cfRule>
  </conditionalFormatting>
  <conditionalFormatting sqref="E27">
    <cfRule type="cellIs" dxfId="427" priority="427" operator="lessThan">
      <formula>1</formula>
    </cfRule>
    <cfRule type="cellIs" dxfId="426" priority="428" operator="greaterThan">
      <formula>0.9</formula>
    </cfRule>
  </conditionalFormatting>
  <conditionalFormatting sqref="F27">
    <cfRule type="cellIs" dxfId="425" priority="425" operator="lessThan">
      <formula>1</formula>
    </cfRule>
    <cfRule type="cellIs" dxfId="424" priority="426" operator="greaterThan">
      <formula>0.9</formula>
    </cfRule>
  </conditionalFormatting>
  <conditionalFormatting sqref="F28">
    <cfRule type="cellIs" dxfId="423" priority="423" operator="lessThan">
      <formula>1</formula>
    </cfRule>
    <cfRule type="cellIs" dxfId="422" priority="424" operator="greaterThan">
      <formula>0.9</formula>
    </cfRule>
  </conditionalFormatting>
  <conditionalFormatting sqref="F29">
    <cfRule type="cellIs" dxfId="421" priority="421" operator="lessThan">
      <formula>1</formula>
    </cfRule>
    <cfRule type="cellIs" dxfId="420" priority="422" operator="greaterThan">
      <formula>0.9</formula>
    </cfRule>
  </conditionalFormatting>
  <conditionalFormatting sqref="F30">
    <cfRule type="cellIs" dxfId="419" priority="419" operator="lessThan">
      <formula>1</formula>
    </cfRule>
    <cfRule type="cellIs" dxfId="418" priority="420" operator="greaterThan">
      <formula>0.9</formula>
    </cfRule>
  </conditionalFormatting>
  <conditionalFormatting sqref="F31">
    <cfRule type="cellIs" dxfId="417" priority="417" operator="lessThan">
      <formula>1</formula>
    </cfRule>
    <cfRule type="cellIs" dxfId="416" priority="418" operator="greaterThan">
      <formula>0.9</formula>
    </cfRule>
  </conditionalFormatting>
  <conditionalFormatting sqref="F32">
    <cfRule type="cellIs" dxfId="415" priority="415" operator="lessThan">
      <formula>1</formula>
    </cfRule>
    <cfRule type="cellIs" dxfId="414" priority="416" operator="greaterThan">
      <formula>0.9</formula>
    </cfRule>
  </conditionalFormatting>
  <conditionalFormatting sqref="F33:F34">
    <cfRule type="cellIs" dxfId="413" priority="413" operator="lessThan">
      <formula>1</formula>
    </cfRule>
    <cfRule type="cellIs" dxfId="412" priority="414" operator="greaterThan">
      <formula>0.9</formula>
    </cfRule>
  </conditionalFormatting>
  <conditionalFormatting sqref="C27">
    <cfRule type="cellIs" dxfId="411" priority="411" operator="lessThan">
      <formula>1</formula>
    </cfRule>
    <cfRule type="cellIs" dxfId="410" priority="412" operator="greaterThan">
      <formula>0.9</formula>
    </cfRule>
  </conditionalFormatting>
  <conditionalFormatting sqref="C28">
    <cfRule type="cellIs" dxfId="409" priority="409" operator="lessThan">
      <formula>1</formula>
    </cfRule>
    <cfRule type="cellIs" dxfId="408" priority="410" operator="greaterThan">
      <formula>0.9</formula>
    </cfRule>
  </conditionalFormatting>
  <conditionalFormatting sqref="C29">
    <cfRule type="cellIs" dxfId="407" priority="407" operator="lessThan">
      <formula>1</formula>
    </cfRule>
    <cfRule type="cellIs" dxfId="406" priority="408" operator="greaterThan">
      <formula>0.9</formula>
    </cfRule>
  </conditionalFormatting>
  <conditionalFormatting sqref="C30:C34">
    <cfRule type="cellIs" dxfId="405" priority="406" operator="greaterThan">
      <formula>0</formula>
    </cfRule>
  </conditionalFormatting>
  <conditionalFormatting sqref="C30:C34">
    <cfRule type="cellIs" dxfId="404" priority="405" operator="equal">
      <formula>0</formula>
    </cfRule>
  </conditionalFormatting>
  <conditionalFormatting sqref="D30">
    <cfRule type="cellIs" dxfId="403" priority="404" operator="greaterThan">
      <formula>0</formula>
    </cfRule>
  </conditionalFormatting>
  <conditionalFormatting sqref="D30">
    <cfRule type="cellIs" dxfId="402" priority="403" operator="equal">
      <formula>0</formula>
    </cfRule>
  </conditionalFormatting>
  <conditionalFormatting sqref="D31">
    <cfRule type="cellIs" dxfId="401" priority="402" operator="greaterThan">
      <formula>0</formula>
    </cfRule>
  </conditionalFormatting>
  <conditionalFormatting sqref="D31">
    <cfRule type="cellIs" dxfId="400" priority="401" operator="equal">
      <formula>0</formula>
    </cfRule>
  </conditionalFormatting>
  <conditionalFormatting sqref="D32">
    <cfRule type="cellIs" dxfId="399" priority="400" operator="greaterThan">
      <formula>0</formula>
    </cfRule>
  </conditionalFormatting>
  <conditionalFormatting sqref="D32">
    <cfRule type="cellIs" dxfId="398" priority="399" operator="equal">
      <formula>0</formula>
    </cfRule>
  </conditionalFormatting>
  <conditionalFormatting sqref="D33">
    <cfRule type="cellIs" dxfId="397" priority="398" operator="greaterThan">
      <formula>0</formula>
    </cfRule>
  </conditionalFormatting>
  <conditionalFormatting sqref="D33">
    <cfRule type="cellIs" dxfId="396" priority="397" operator="equal">
      <formula>0</formula>
    </cfRule>
  </conditionalFormatting>
  <conditionalFormatting sqref="D34">
    <cfRule type="cellIs" dxfId="395" priority="396" operator="greaterThan">
      <formula>0</formula>
    </cfRule>
  </conditionalFormatting>
  <conditionalFormatting sqref="D34">
    <cfRule type="cellIs" dxfId="394" priority="395" operator="equal">
      <formula>0</formula>
    </cfRule>
  </conditionalFormatting>
  <conditionalFormatting sqref="E30">
    <cfRule type="cellIs" dxfId="393" priority="394" operator="greaterThan">
      <formula>0</formula>
    </cfRule>
  </conditionalFormatting>
  <conditionalFormatting sqref="E30">
    <cfRule type="cellIs" dxfId="392" priority="393" operator="equal">
      <formula>0</formula>
    </cfRule>
  </conditionalFormatting>
  <conditionalFormatting sqref="E31">
    <cfRule type="cellIs" dxfId="391" priority="392" operator="greaterThan">
      <formula>0</formula>
    </cfRule>
  </conditionalFormatting>
  <conditionalFormatting sqref="E31">
    <cfRule type="cellIs" dxfId="390" priority="391" operator="equal">
      <formula>0</formula>
    </cfRule>
  </conditionalFormatting>
  <conditionalFormatting sqref="E32">
    <cfRule type="cellIs" dxfId="389" priority="390" operator="greaterThan">
      <formula>0</formula>
    </cfRule>
  </conditionalFormatting>
  <conditionalFormatting sqref="E32">
    <cfRule type="cellIs" dxfId="388" priority="389" operator="equal">
      <formula>0</formula>
    </cfRule>
  </conditionalFormatting>
  <conditionalFormatting sqref="E33">
    <cfRule type="cellIs" dxfId="387" priority="388" operator="greaterThan">
      <formula>0</formula>
    </cfRule>
  </conditionalFormatting>
  <conditionalFormatting sqref="E33">
    <cfRule type="cellIs" dxfId="386" priority="387" operator="equal">
      <formula>0</formula>
    </cfRule>
  </conditionalFormatting>
  <conditionalFormatting sqref="E34">
    <cfRule type="cellIs" dxfId="385" priority="386" operator="greaterThan">
      <formula>0</formula>
    </cfRule>
  </conditionalFormatting>
  <conditionalFormatting sqref="E34">
    <cfRule type="cellIs" dxfId="384" priority="385" operator="equal">
      <formula>0</formula>
    </cfRule>
  </conditionalFormatting>
  <conditionalFormatting sqref="G27">
    <cfRule type="cellIs" dxfId="383" priority="383" operator="lessThan">
      <formula>1.9</formula>
    </cfRule>
    <cfRule type="cellIs" dxfId="382" priority="384" operator="greaterThan">
      <formula>1.9</formula>
    </cfRule>
  </conditionalFormatting>
  <conditionalFormatting sqref="G28">
    <cfRule type="cellIs" dxfId="381" priority="381" operator="lessThan">
      <formula>1.9</formula>
    </cfRule>
    <cfRule type="cellIs" dxfId="380" priority="382" operator="greaterThan">
      <formula>1.9</formula>
    </cfRule>
  </conditionalFormatting>
  <conditionalFormatting sqref="G29">
    <cfRule type="cellIs" dxfId="379" priority="379" operator="lessThan">
      <formula>1.9</formula>
    </cfRule>
    <cfRule type="cellIs" dxfId="378" priority="380" operator="greaterThan">
      <formula>1.9</formula>
    </cfRule>
  </conditionalFormatting>
  <conditionalFormatting sqref="G30">
    <cfRule type="cellIs" dxfId="377" priority="377" operator="lessThan">
      <formula>1.9</formula>
    </cfRule>
    <cfRule type="cellIs" dxfId="376" priority="378" operator="greaterThan">
      <formula>1.9</formula>
    </cfRule>
  </conditionalFormatting>
  <conditionalFormatting sqref="G31">
    <cfRule type="cellIs" dxfId="375" priority="375" operator="lessThan">
      <formula>1.9</formula>
    </cfRule>
    <cfRule type="cellIs" dxfId="374" priority="376" operator="greaterThan">
      <formula>1.9</formula>
    </cfRule>
  </conditionalFormatting>
  <conditionalFormatting sqref="G32">
    <cfRule type="cellIs" dxfId="373" priority="373" operator="lessThan">
      <formula>1.9</formula>
    </cfRule>
    <cfRule type="cellIs" dxfId="372" priority="374" operator="greaterThan">
      <formula>1.9</formula>
    </cfRule>
  </conditionalFormatting>
  <conditionalFormatting sqref="G33:G34">
    <cfRule type="cellIs" dxfId="371" priority="371" operator="lessThan">
      <formula>1.9</formula>
    </cfRule>
    <cfRule type="cellIs" dxfId="370" priority="372" operator="greaterThan">
      <formula>1.9</formula>
    </cfRule>
  </conditionalFormatting>
  <conditionalFormatting sqref="H27:H33">
    <cfRule type="cellIs" dxfId="369" priority="369" operator="lessThan">
      <formula>1.9</formula>
    </cfRule>
    <cfRule type="cellIs" dxfId="368" priority="370" operator="greaterThan">
      <formula>1.9</formula>
    </cfRule>
  </conditionalFormatting>
  <conditionalFormatting sqref="I30">
    <cfRule type="cellIs" dxfId="367" priority="367" operator="lessThan">
      <formula>1.9</formula>
    </cfRule>
    <cfRule type="cellIs" dxfId="366" priority="368" operator="greaterThan">
      <formula>1.9</formula>
    </cfRule>
  </conditionalFormatting>
  <conditionalFormatting sqref="I31">
    <cfRule type="cellIs" dxfId="365" priority="365" operator="lessThan">
      <formula>1.9</formula>
    </cfRule>
    <cfRule type="cellIs" dxfId="364" priority="366" operator="greaterThan">
      <formula>1.9</formula>
    </cfRule>
  </conditionalFormatting>
  <conditionalFormatting sqref="I32">
    <cfRule type="cellIs" dxfId="363" priority="363" operator="lessThan">
      <formula>1.9</formula>
    </cfRule>
    <cfRule type="cellIs" dxfId="362" priority="364" operator="greaterThan">
      <formula>1.9</formula>
    </cfRule>
  </conditionalFormatting>
  <conditionalFormatting sqref="I33">
    <cfRule type="cellIs" dxfId="361" priority="361" operator="lessThan">
      <formula>1.9</formula>
    </cfRule>
    <cfRule type="cellIs" dxfId="360" priority="362" operator="greaterThan">
      <formula>1.9</formula>
    </cfRule>
  </conditionalFormatting>
  <conditionalFormatting sqref="J27:J29">
    <cfRule type="cellIs" dxfId="359" priority="359" operator="lessThan">
      <formula>2.9</formula>
    </cfRule>
    <cfRule type="cellIs" dxfId="358" priority="360" operator="greaterThan">
      <formula>2.9</formula>
    </cfRule>
  </conditionalFormatting>
  <conditionalFormatting sqref="J30">
    <cfRule type="cellIs" dxfId="357" priority="357" operator="lessThan">
      <formula>1.9</formula>
    </cfRule>
    <cfRule type="cellIs" dxfId="356" priority="358" operator="greaterThan">
      <formula>1.9</formula>
    </cfRule>
  </conditionalFormatting>
  <conditionalFormatting sqref="J31">
    <cfRule type="cellIs" dxfId="355" priority="355" operator="lessThan">
      <formula>1.9</formula>
    </cfRule>
    <cfRule type="cellIs" dxfId="354" priority="356" operator="greaterThan">
      <formula>1.9</formula>
    </cfRule>
  </conditionalFormatting>
  <conditionalFormatting sqref="J32">
    <cfRule type="cellIs" dxfId="353" priority="353" operator="lessThan">
      <formula>1.9</formula>
    </cfRule>
    <cfRule type="cellIs" dxfId="352" priority="354" operator="greaterThan">
      <formula>1.9</formula>
    </cfRule>
  </conditionalFormatting>
  <conditionalFormatting sqref="J33">
    <cfRule type="cellIs" dxfId="351" priority="351" operator="lessThan">
      <formula>1.9</formula>
    </cfRule>
    <cfRule type="cellIs" dxfId="350" priority="352" operator="greaterThan">
      <formula>1.9</formula>
    </cfRule>
  </conditionalFormatting>
  <conditionalFormatting sqref="K27">
    <cfRule type="cellIs" dxfId="349" priority="349" operator="lessThan">
      <formula>3.9</formula>
    </cfRule>
    <cfRule type="cellIs" dxfId="348" priority="350" operator="greaterThan">
      <formula>3.9</formula>
    </cfRule>
  </conditionalFormatting>
  <conditionalFormatting sqref="K28">
    <cfRule type="cellIs" dxfId="347" priority="347" operator="lessThan">
      <formula>3.9</formula>
    </cfRule>
    <cfRule type="cellIs" dxfId="346" priority="348" operator="greaterThan">
      <formula>3.9</formula>
    </cfRule>
  </conditionalFormatting>
  <conditionalFormatting sqref="K29">
    <cfRule type="cellIs" dxfId="345" priority="345" operator="lessThan">
      <formula>3.9</formula>
    </cfRule>
    <cfRule type="cellIs" dxfId="344" priority="346" operator="greaterThan">
      <formula>3.9</formula>
    </cfRule>
  </conditionalFormatting>
  <conditionalFormatting sqref="K30">
    <cfRule type="cellIs" dxfId="343" priority="343" operator="lessThan">
      <formula>2.9</formula>
    </cfRule>
    <cfRule type="cellIs" dxfId="342" priority="344" operator="greaterThan">
      <formula>2.9</formula>
    </cfRule>
  </conditionalFormatting>
  <conditionalFormatting sqref="K31">
    <cfRule type="cellIs" dxfId="341" priority="341" operator="lessThan">
      <formula>2.9</formula>
    </cfRule>
    <cfRule type="cellIs" dxfId="340" priority="342" operator="greaterThan">
      <formula>2.9</formula>
    </cfRule>
  </conditionalFormatting>
  <conditionalFormatting sqref="K32">
    <cfRule type="cellIs" dxfId="339" priority="339" operator="lessThan">
      <formula>2.9</formula>
    </cfRule>
    <cfRule type="cellIs" dxfId="338" priority="340" operator="greaterThan">
      <formula>2.9</formula>
    </cfRule>
  </conditionalFormatting>
  <conditionalFormatting sqref="K33">
    <cfRule type="cellIs" dxfId="337" priority="337" operator="lessThan">
      <formula>2.9</formula>
    </cfRule>
    <cfRule type="cellIs" dxfId="336" priority="338" operator="greaterThan">
      <formula>2.9</formula>
    </cfRule>
  </conditionalFormatting>
  <conditionalFormatting sqref="I27:I29">
    <cfRule type="cellIs" dxfId="335" priority="335" operator="lessThan">
      <formula>2.9</formula>
    </cfRule>
    <cfRule type="cellIs" dxfId="334" priority="336" operator="greaterThan">
      <formula>2.9</formula>
    </cfRule>
  </conditionalFormatting>
  <conditionalFormatting sqref="K34">
    <cfRule type="cellIs" dxfId="333" priority="333" operator="lessThan">
      <formula>6.9</formula>
    </cfRule>
    <cfRule type="cellIs" dxfId="332" priority="334" operator="greaterThan">
      <formula>6.9</formula>
    </cfRule>
  </conditionalFormatting>
  <conditionalFormatting sqref="H34">
    <cfRule type="cellIs" dxfId="331" priority="331" operator="lessThan">
      <formula>3.9</formula>
    </cfRule>
    <cfRule type="cellIs" dxfId="330" priority="332" operator="greaterThan">
      <formula>3.9</formula>
    </cfRule>
  </conditionalFormatting>
  <conditionalFormatting sqref="I34">
    <cfRule type="cellIs" dxfId="329" priority="329" operator="lessThan">
      <formula>4.9</formula>
    </cfRule>
    <cfRule type="cellIs" dxfId="328" priority="330" operator="greaterThan">
      <formula>4.9</formula>
    </cfRule>
  </conditionalFormatting>
  <conditionalFormatting sqref="J34">
    <cfRule type="cellIs" dxfId="327" priority="327" operator="lessThan">
      <formula>6</formula>
    </cfRule>
    <cfRule type="cellIs" dxfId="326" priority="328" operator="greaterThan">
      <formula>5.9</formula>
    </cfRule>
  </conditionalFormatting>
  <conditionalFormatting sqref="K58:K59">
    <cfRule type="cellIs" dxfId="325" priority="324" operator="lessThan">
      <formula>0.76</formula>
    </cfRule>
    <cfRule type="cellIs" dxfId="324" priority="325" operator="greaterThan">
      <formula>0.75</formula>
    </cfRule>
    <cfRule type="cellIs" dxfId="323" priority="326" operator="greaterThan">
      <formula>75</formula>
    </cfRule>
  </conditionalFormatting>
  <conditionalFormatting sqref="H58:J59">
    <cfRule type="cellIs" dxfId="322" priority="322" operator="lessThan">
      <formula>0.71</formula>
    </cfRule>
    <cfRule type="cellIs" dxfId="321" priority="323" operator="greaterThan">
      <formula>0.7</formula>
    </cfRule>
  </conditionalFormatting>
  <conditionalFormatting sqref="F58:G59">
    <cfRule type="cellIs" dxfId="320" priority="320" operator="lessThan">
      <formula>0.66</formula>
    </cfRule>
    <cfRule type="cellIs" dxfId="319" priority="321" operator="greaterThan">
      <formula>0.65</formula>
    </cfRule>
  </conditionalFormatting>
  <conditionalFormatting sqref="E58:E59">
    <cfRule type="cellIs" dxfId="318" priority="318" operator="lessThan">
      <formula>0.61</formula>
    </cfRule>
    <cfRule type="cellIs" dxfId="317" priority="319" operator="greaterThan">
      <formula>0.6</formula>
    </cfRule>
  </conditionalFormatting>
  <conditionalFormatting sqref="C58:D59">
    <cfRule type="cellIs" dxfId="316" priority="316" operator="lessThan">
      <formula>0.51</formula>
    </cfRule>
    <cfRule type="cellIs" dxfId="315" priority="317" operator="greaterThan">
      <formula>0.5</formula>
    </cfRule>
  </conditionalFormatting>
  <conditionalFormatting sqref="K47">
    <cfRule type="cellIs" dxfId="314" priority="313" operator="greaterThan">
      <formula>39.9</formula>
    </cfRule>
    <cfRule type="cellIs" dxfId="313" priority="314" operator="lessThan">
      <formula>40</formula>
    </cfRule>
    <cfRule type="cellIs" dxfId="312" priority="315" operator="greaterThan">
      <formula>40</formula>
    </cfRule>
  </conditionalFormatting>
  <conditionalFormatting sqref="K48">
    <cfRule type="cellIs" dxfId="311" priority="311" operator="lessThan">
      <formula>9.9</formula>
    </cfRule>
    <cfRule type="cellIs" dxfId="310" priority="312" operator="greaterThan">
      <formula>9.9</formula>
    </cfRule>
  </conditionalFormatting>
  <conditionalFormatting sqref="K46">
    <cfRule type="cellIs" dxfId="309" priority="309" operator="lessThan">
      <formula>17.9</formula>
    </cfRule>
    <cfRule type="cellIs" dxfId="308" priority="310" operator="greaterThan">
      <formula>17.9</formula>
    </cfRule>
  </conditionalFormatting>
  <conditionalFormatting sqref="K49">
    <cfRule type="cellIs" dxfId="307" priority="307" operator="lessThan">
      <formula>39.9</formula>
    </cfRule>
    <cfRule type="cellIs" dxfId="306" priority="308" operator="greaterThan">
      <formula>39.9</formula>
    </cfRule>
  </conditionalFormatting>
  <conditionalFormatting sqref="K52:K53">
    <cfRule type="cellIs" dxfId="305" priority="305" operator="lessThan">
      <formula>215.9</formula>
    </cfRule>
    <cfRule type="cellIs" dxfId="304" priority="306" operator="greaterThan">
      <formula>215.9</formula>
    </cfRule>
  </conditionalFormatting>
  <conditionalFormatting sqref="K56">
    <cfRule type="cellIs" dxfId="303" priority="301" operator="lessThan">
      <formula>4.27</formula>
    </cfRule>
    <cfRule type="cellIs" dxfId="302" priority="302" operator="greaterThan">
      <formula>4.27</formula>
    </cfRule>
    <cfRule type="cellIs" dxfId="301" priority="303" operator="lessThan">
      <formula>4.28</formula>
    </cfRule>
    <cfRule type="cellIs" dxfId="300" priority="304" operator="greaterThan">
      <formula>4.28</formula>
    </cfRule>
  </conditionalFormatting>
  <conditionalFormatting sqref="I46:J46">
    <cfRule type="cellIs" dxfId="299" priority="297" operator="lessThan">
      <formula>16.9</formula>
    </cfRule>
    <cfRule type="cellIs" dxfId="298" priority="298" operator="greaterThan">
      <formula>16.9</formula>
    </cfRule>
    <cfRule type="cellIs" dxfId="297" priority="299" operator="greaterThan">
      <formula>16</formula>
    </cfRule>
    <cfRule type="cellIs" dxfId="296" priority="300" operator="greaterThan">
      <formula>16</formula>
    </cfRule>
  </conditionalFormatting>
  <conditionalFormatting sqref="J47">
    <cfRule type="cellIs" dxfId="295" priority="293" operator="lessThan">
      <formula>34.9</formula>
    </cfRule>
    <cfRule type="cellIs" dxfId="294" priority="294" operator="greaterThan">
      <formula>34.9</formula>
    </cfRule>
    <cfRule type="cellIs" dxfId="293" priority="295" operator="greaterThan">
      <formula>34.9</formula>
    </cfRule>
    <cfRule type="cellIs" dxfId="292" priority="296" operator="greaterThan">
      <formula>34.9</formula>
    </cfRule>
  </conditionalFormatting>
  <conditionalFormatting sqref="J48">
    <cfRule type="cellIs" dxfId="291" priority="291" operator="lessThan">
      <formula>7.9</formula>
    </cfRule>
    <cfRule type="cellIs" dxfId="290" priority="292" operator="greaterThan">
      <formula>7.9</formula>
    </cfRule>
  </conditionalFormatting>
  <conditionalFormatting sqref="J49">
    <cfRule type="cellIs" dxfId="289" priority="289" operator="lessThan">
      <formula>34.9</formula>
    </cfRule>
    <cfRule type="cellIs" dxfId="288" priority="290" operator="greaterThan">
      <formula>34.9</formula>
    </cfRule>
  </conditionalFormatting>
  <conditionalFormatting sqref="J52:J53">
    <cfRule type="cellIs" dxfId="287" priority="287" operator="lessThan">
      <formula>191.9</formula>
    </cfRule>
    <cfRule type="cellIs" dxfId="286" priority="288" operator="greaterThan">
      <formula>191</formula>
    </cfRule>
  </conditionalFormatting>
  <conditionalFormatting sqref="J56">
    <cfRule type="cellIs" dxfId="285" priority="283" operator="lessThan">
      <formula>4.391</formula>
    </cfRule>
    <cfRule type="cellIs" dxfId="284" priority="284" operator="greaterThan">
      <formula>4.39</formula>
    </cfRule>
    <cfRule type="cellIs" dxfId="283" priority="285" operator="lessThan">
      <formula>"4.39.1"</formula>
    </cfRule>
    <cfRule type="cellIs" dxfId="282" priority="286" operator="greaterThan">
      <formula>4.39</formula>
    </cfRule>
  </conditionalFormatting>
  <conditionalFormatting sqref="I47">
    <cfRule type="cellIs" dxfId="281" priority="281" operator="lessThan">
      <formula>30</formula>
    </cfRule>
    <cfRule type="cellIs" dxfId="280" priority="282" operator="greaterThan">
      <formula>29.9</formula>
    </cfRule>
  </conditionalFormatting>
  <conditionalFormatting sqref="I48">
    <cfRule type="cellIs" dxfId="279" priority="279" operator="lessThan">
      <formula>7</formula>
    </cfRule>
    <cfRule type="cellIs" dxfId="278" priority="280" operator="greaterThan">
      <formula>6.9</formula>
    </cfRule>
  </conditionalFormatting>
  <conditionalFormatting sqref="I49">
    <cfRule type="cellIs" dxfId="277" priority="277" operator="lessThan">
      <formula>30</formula>
    </cfRule>
    <cfRule type="cellIs" dxfId="276" priority="278" operator="greaterThan">
      <formula>29.9</formula>
    </cfRule>
  </conditionalFormatting>
  <conditionalFormatting sqref="I52:I53">
    <cfRule type="cellIs" dxfId="275" priority="275" operator="lessThan">
      <formula>168</formula>
    </cfRule>
    <cfRule type="cellIs" dxfId="274" priority="276" operator="greaterThan">
      <formula>167.9</formula>
    </cfRule>
  </conditionalFormatting>
  <conditionalFormatting sqref="I56">
    <cfRule type="cellIs" dxfId="273" priority="271" operator="greaterThan">
      <formula>4.49</formula>
    </cfRule>
    <cfRule type="cellIs" dxfId="272" priority="272" operator="lessThan">
      <formula>4.5</formula>
    </cfRule>
    <cfRule type="cellIs" dxfId="271" priority="273" operator="lessThan">
      <formula>4.49</formula>
    </cfRule>
    <cfRule type="cellIs" dxfId="270" priority="274" operator="lessThan">
      <formula>4.48</formula>
    </cfRule>
  </conditionalFormatting>
  <conditionalFormatting sqref="C46:H46">
    <cfRule type="cellIs" dxfId="269" priority="269" operator="lessThan">
      <formula>15</formula>
    </cfRule>
    <cfRule type="cellIs" dxfId="268" priority="270" operator="greaterThan">
      <formula>14</formula>
    </cfRule>
  </conditionalFormatting>
  <conditionalFormatting sqref="H47">
    <cfRule type="cellIs" dxfId="267" priority="267" operator="lessThan">
      <formula>25</formula>
    </cfRule>
    <cfRule type="cellIs" dxfId="266" priority="268" operator="greaterThan">
      <formula>24</formula>
    </cfRule>
  </conditionalFormatting>
  <conditionalFormatting sqref="H48">
    <cfRule type="cellIs" dxfId="265" priority="265" operator="lessThan">
      <formula>6</formula>
    </cfRule>
    <cfRule type="cellIs" dxfId="264" priority="266" operator="greaterThan">
      <formula>5</formula>
    </cfRule>
  </conditionalFormatting>
  <conditionalFormatting sqref="H49">
    <cfRule type="cellIs" dxfId="263" priority="263" operator="lessThan">
      <formula>25</formula>
    </cfRule>
    <cfRule type="cellIs" dxfId="262" priority="264" operator="greaterThan">
      <formula>24</formula>
    </cfRule>
  </conditionalFormatting>
  <conditionalFormatting sqref="H52:H53">
    <cfRule type="cellIs" dxfId="261" priority="261" operator="lessThan">
      <formula>144</formula>
    </cfRule>
    <cfRule type="cellIs" dxfId="260" priority="262" operator="greaterThan">
      <formula>143</formula>
    </cfRule>
  </conditionalFormatting>
  <conditionalFormatting sqref="H56">
    <cfRule type="cellIs" dxfId="259" priority="259" operator="greaterThan">
      <formula>4.59</formula>
    </cfRule>
    <cfRule type="cellIs" dxfId="258" priority="260" operator="lessThan">
      <formula>4.6</formula>
    </cfRule>
  </conditionalFormatting>
  <conditionalFormatting sqref="G47">
    <cfRule type="cellIs" dxfId="257" priority="257" operator="lessThan">
      <formula>20</formula>
    </cfRule>
    <cfRule type="cellIs" dxfId="256" priority="258" operator="greaterThan">
      <formula>19</formula>
    </cfRule>
  </conditionalFormatting>
  <conditionalFormatting sqref="G48">
    <cfRule type="cellIs" dxfId="255" priority="255" operator="lessThan">
      <formula>5</formula>
    </cfRule>
    <cfRule type="cellIs" dxfId="254" priority="256" operator="greaterThan">
      <formula>4</formula>
    </cfRule>
  </conditionalFormatting>
  <conditionalFormatting sqref="G49">
    <cfRule type="cellIs" dxfId="253" priority="253" operator="lessThan">
      <formula>20</formula>
    </cfRule>
    <cfRule type="cellIs" dxfId="252" priority="254" operator="greaterThan">
      <formula>19</formula>
    </cfRule>
  </conditionalFormatting>
  <conditionalFormatting sqref="G52:G53">
    <cfRule type="cellIs" dxfId="251" priority="251" operator="lessThan">
      <formula>120</formula>
    </cfRule>
    <cfRule type="cellIs" dxfId="250" priority="252" operator="greaterThan">
      <formula>119</formula>
    </cfRule>
  </conditionalFormatting>
  <conditionalFormatting sqref="G56">
    <cfRule type="cellIs" dxfId="249" priority="249" operator="greaterThan">
      <formula>4.75</formula>
    </cfRule>
    <cfRule type="cellIs" dxfId="248" priority="250" operator="lessThan">
      <formula>4.76</formula>
    </cfRule>
  </conditionalFormatting>
  <conditionalFormatting sqref="F47">
    <cfRule type="cellIs" dxfId="247" priority="247" operator="lessThan">
      <formula>15</formula>
    </cfRule>
    <cfRule type="cellIs" dxfId="246" priority="248" operator="greaterThan">
      <formula>14</formula>
    </cfRule>
  </conditionalFormatting>
  <conditionalFormatting sqref="F48">
    <cfRule type="cellIs" dxfId="245" priority="245" operator="lessThan">
      <formula>4</formula>
    </cfRule>
    <cfRule type="cellIs" dxfId="244" priority="246" operator="greaterThan">
      <formula>3</formula>
    </cfRule>
  </conditionalFormatting>
  <conditionalFormatting sqref="F49">
    <cfRule type="cellIs" dxfId="243" priority="243" operator="lessThan">
      <formula>15</formula>
    </cfRule>
    <cfRule type="cellIs" dxfId="242" priority="244" operator="greaterThan">
      <formula>14</formula>
    </cfRule>
  </conditionalFormatting>
  <conditionalFormatting sqref="F52:F53">
    <cfRule type="cellIs" dxfId="241" priority="241" operator="lessThan">
      <formula>96</formula>
    </cfRule>
    <cfRule type="cellIs" dxfId="240" priority="242" operator="greaterThan">
      <formula>95</formula>
    </cfRule>
  </conditionalFormatting>
  <conditionalFormatting sqref="F56">
    <cfRule type="cellIs" dxfId="239" priority="239" operator="greaterThan">
      <formula>5</formula>
    </cfRule>
    <cfRule type="cellIs" dxfId="238" priority="240" operator="lessThan">
      <formula>5.1</formula>
    </cfRule>
  </conditionalFormatting>
  <conditionalFormatting sqref="E47">
    <cfRule type="cellIs" dxfId="237" priority="237" operator="lessThan">
      <formula>10</formula>
    </cfRule>
    <cfRule type="cellIs" dxfId="236" priority="238" operator="greaterThan">
      <formula>9</formula>
    </cfRule>
  </conditionalFormatting>
  <conditionalFormatting sqref="E48">
    <cfRule type="cellIs" dxfId="235" priority="235" operator="lessThan">
      <formula>3</formula>
    </cfRule>
    <cfRule type="cellIs" dxfId="234" priority="236" operator="greaterThan">
      <formula>2</formula>
    </cfRule>
  </conditionalFormatting>
  <conditionalFormatting sqref="E49">
    <cfRule type="cellIs" dxfId="233" priority="233" operator="lessThan">
      <formula>10</formula>
    </cfRule>
    <cfRule type="cellIs" dxfId="232" priority="234" operator="greaterThan">
      <formula>9</formula>
    </cfRule>
  </conditionalFormatting>
  <conditionalFormatting sqref="E52:E53">
    <cfRule type="cellIs" dxfId="231" priority="231" operator="lessThan">
      <formula>72</formula>
    </cfRule>
    <cfRule type="cellIs" dxfId="230" priority="232" operator="greaterThan">
      <formula>71</formula>
    </cfRule>
  </conditionalFormatting>
  <conditionalFormatting sqref="E56">
    <cfRule type="cellIs" dxfId="229" priority="229" operator="greaterThan">
      <formula>5.5</formula>
    </cfRule>
    <cfRule type="cellIs" dxfId="228" priority="230" operator="lessThan">
      <formula>5.6</formula>
    </cfRule>
  </conditionalFormatting>
  <conditionalFormatting sqref="D47">
    <cfRule type="cellIs" dxfId="227" priority="227" operator="lessThan">
      <formula>5</formula>
    </cfRule>
    <cfRule type="cellIs" dxfId="226" priority="228" operator="greaterThan">
      <formula>4</formula>
    </cfRule>
  </conditionalFormatting>
  <conditionalFormatting sqref="D48">
    <cfRule type="cellIs" dxfId="225" priority="225" operator="lessThan">
      <formula>2</formula>
    </cfRule>
    <cfRule type="cellIs" dxfId="224" priority="226" operator="greaterThan">
      <formula>1</formula>
    </cfRule>
  </conditionalFormatting>
  <conditionalFormatting sqref="D49">
    <cfRule type="cellIs" dxfId="223" priority="223" operator="lessThan">
      <formula>5</formula>
    </cfRule>
    <cfRule type="cellIs" dxfId="222" priority="224" operator="greaterThan">
      <formula>4</formula>
    </cfRule>
  </conditionalFormatting>
  <conditionalFormatting sqref="D52:D53">
    <cfRule type="cellIs" dxfId="221" priority="221" operator="lessThan">
      <formula>48</formula>
    </cfRule>
    <cfRule type="cellIs" dxfId="220" priority="222" operator="greaterThan">
      <formula>47</formula>
    </cfRule>
  </conditionalFormatting>
  <conditionalFormatting sqref="D56">
    <cfRule type="cellIs" dxfId="219" priority="219" operator="greaterThan">
      <formula>5.75</formula>
    </cfRule>
    <cfRule type="cellIs" dxfId="218" priority="220" operator="lessThan">
      <formula>5.76</formula>
    </cfRule>
  </conditionalFormatting>
  <conditionalFormatting sqref="K36">
    <cfRule type="cellIs" dxfId="217" priority="215" operator="lessThan">
      <formula>4</formula>
    </cfRule>
    <cfRule type="cellIs" dxfId="216" priority="216" operator="lessThan">
      <formula>4.1</formula>
    </cfRule>
    <cfRule type="cellIs" dxfId="215" priority="217" operator="greaterThan">
      <formula>4</formula>
    </cfRule>
    <cfRule type="cellIs" dxfId="214" priority="218" operator="lessThan">
      <formula>4</formula>
    </cfRule>
  </conditionalFormatting>
  <conditionalFormatting sqref="K37">
    <cfRule type="cellIs" dxfId="213" priority="213" operator="lessThan">
      <formula>0.499</formula>
    </cfRule>
    <cfRule type="cellIs" dxfId="212" priority="214" operator="greaterThan">
      <formula>0.499</formula>
    </cfRule>
  </conditionalFormatting>
  <conditionalFormatting sqref="K38">
    <cfRule type="cellIs" dxfId="211" priority="211" operator="lessThan">
      <formula>0.449</formula>
    </cfRule>
    <cfRule type="cellIs" dxfId="210" priority="212" operator="greaterThan">
      <formula>0.449</formula>
    </cfRule>
  </conditionalFormatting>
  <conditionalFormatting sqref="K39">
    <cfRule type="cellIs" dxfId="209" priority="132" operator="greaterThan">
      <formula>31.99</formula>
    </cfRule>
    <cfRule type="cellIs" dxfId="208" priority="209" operator="lessThan">
      <formula>32.1</formula>
    </cfRule>
    <cfRule type="cellIs" dxfId="207" priority="210" operator="greaterThan">
      <formula>32</formula>
    </cfRule>
  </conditionalFormatting>
  <conditionalFormatting sqref="K40">
    <cfRule type="cellIs" dxfId="206" priority="207" operator="lessThan">
      <formula>1.78</formula>
    </cfRule>
    <cfRule type="cellIs" dxfId="205" priority="208" operator="greaterThan">
      <formula>1.77</formula>
    </cfRule>
  </conditionalFormatting>
  <conditionalFormatting sqref="K41">
    <cfRule type="cellIs" dxfId="204" priority="205" operator="lessThan">
      <formula>0.3499</formula>
    </cfRule>
    <cfRule type="cellIs" dxfId="203" priority="206" operator="greaterThan">
      <formula>0.3499</formula>
    </cfRule>
  </conditionalFormatting>
  <conditionalFormatting sqref="K42">
    <cfRule type="cellIs" dxfId="202" priority="203" operator="lessThan">
      <formula>0.7499</formula>
    </cfRule>
    <cfRule type="cellIs" dxfId="201" priority="204" operator="greaterThan">
      <formula>0.7499</formula>
    </cfRule>
  </conditionalFormatting>
  <conditionalFormatting sqref="J36">
    <cfRule type="cellIs" dxfId="200" priority="200" operator="lessThan">
      <formula>8</formula>
    </cfRule>
    <cfRule type="cellIs" dxfId="199" priority="201" operator="greaterThan">
      <formula>7.9</formula>
    </cfRule>
    <cfRule type="cellIs" dxfId="198" priority="202" operator="greaterThan">
      <formula>8</formula>
    </cfRule>
  </conditionalFormatting>
  <conditionalFormatting sqref="J37:J38 I38">
    <cfRule type="cellIs" dxfId="197" priority="198" operator="lessThan">
      <formula>0.4</formula>
    </cfRule>
    <cfRule type="cellIs" dxfId="196" priority="199" operator="greaterThan">
      <formula>0.3999</formula>
    </cfRule>
  </conditionalFormatting>
  <conditionalFormatting sqref="J39">
    <cfRule type="cellIs" dxfId="195" priority="130" operator="lessThan">
      <formula>34</formula>
    </cfRule>
    <cfRule type="cellIs" dxfId="194" priority="131" operator="greaterThan">
      <formula>33.9</formula>
    </cfRule>
    <cfRule type="cellIs" dxfId="193" priority="196" operator="lessThan">
      <formula>34.1</formula>
    </cfRule>
    <cfRule type="cellIs" dxfId="192" priority="197" operator="greaterThan">
      <formula>34</formula>
    </cfRule>
  </conditionalFormatting>
  <conditionalFormatting sqref="J40">
    <cfRule type="cellIs" dxfId="191" priority="193" operator="lessThan">
      <formula>1.88</formula>
    </cfRule>
    <cfRule type="cellIs" dxfId="190" priority="194" operator="lessThan">
      <formula>1.88</formula>
    </cfRule>
    <cfRule type="cellIs" dxfId="189" priority="195" operator="greaterThan">
      <formula>1.87</formula>
    </cfRule>
  </conditionalFormatting>
  <conditionalFormatting sqref="I40">
    <cfRule type="cellIs" dxfId="188" priority="191" operator="lessThan">
      <formula>2.01</formula>
    </cfRule>
    <cfRule type="cellIs" dxfId="187" priority="192" operator="greaterThan">
      <formula>2</formula>
    </cfRule>
  </conditionalFormatting>
  <conditionalFormatting sqref="C40:H40">
    <cfRule type="cellIs" dxfId="186" priority="188" operator="lessThan">
      <formula>2.08</formula>
    </cfRule>
    <cfRule type="cellIs" dxfId="185" priority="189" operator="lessThan">
      <formula>2.08</formula>
    </cfRule>
    <cfRule type="cellIs" dxfId="184" priority="190" operator="greaterThan">
      <formula>2.07</formula>
    </cfRule>
  </conditionalFormatting>
  <conditionalFormatting sqref="J44">
    <cfRule type="cellIs" dxfId="183" priority="186" operator="lessThan">
      <formula>49.1</formula>
    </cfRule>
    <cfRule type="cellIs" dxfId="182" priority="187" operator="greaterThan">
      <formula>49</formula>
    </cfRule>
  </conditionalFormatting>
  <conditionalFormatting sqref="J43">
    <cfRule type="cellIs" dxfId="181" priority="184" operator="lessThan">
      <formula>45.1</formula>
    </cfRule>
    <cfRule type="cellIs" dxfId="180" priority="185" operator="greaterThan">
      <formula>45</formula>
    </cfRule>
  </conditionalFormatting>
  <conditionalFormatting sqref="J42">
    <cfRule type="cellIs" dxfId="179" priority="181" operator="lessThan">
      <formula>0.6999</formula>
    </cfRule>
    <cfRule type="cellIs" dxfId="178" priority="182" operator="greaterThan">
      <formula>0.699</formula>
    </cfRule>
    <cfRule type="cellIs" dxfId="177" priority="183" operator="greaterThan">
      <formula>0.699</formula>
    </cfRule>
  </conditionalFormatting>
  <conditionalFormatting sqref="J41">
    <cfRule type="cellIs" dxfId="176" priority="179" operator="lessThan">
      <formula>0.2999</formula>
    </cfRule>
    <cfRule type="cellIs" dxfId="175" priority="180" operator="greaterThan">
      <formula>0.299</formula>
    </cfRule>
  </conditionalFormatting>
  <conditionalFormatting sqref="G37:I37 C38:H38">
    <cfRule type="cellIs" dxfId="174" priority="177" operator="lessThan">
      <formula>0.35</formula>
    </cfRule>
    <cfRule type="cellIs" dxfId="173" priority="178" operator="greaterThan">
      <formula>0.349</formula>
    </cfRule>
  </conditionalFormatting>
  <conditionalFormatting sqref="I36">
    <cfRule type="cellIs" dxfId="172" priority="173" operator="lessThan">
      <formula>10.1</formula>
    </cfRule>
    <cfRule type="cellIs" dxfId="171" priority="174" operator="greaterThan">
      <formula>10</formula>
    </cfRule>
    <cfRule type="cellIs" dxfId="170" priority="175" operator="lessThan">
      <formula>10</formula>
    </cfRule>
    <cfRule type="cellIs" dxfId="169" priority="176" operator="greaterThan">
      <formula>10</formula>
    </cfRule>
  </conditionalFormatting>
  <conditionalFormatting sqref="I39">
    <cfRule type="cellIs" dxfId="168" priority="128" operator="lessThan">
      <formula>37</formula>
    </cfRule>
    <cfRule type="cellIs" dxfId="167" priority="129" operator="greaterThan">
      <formula>36.9</formula>
    </cfRule>
    <cfRule type="cellIs" dxfId="166" priority="171" operator="lessThan">
      <formula>37.01</formula>
    </cfRule>
    <cfRule type="cellIs" dxfId="165" priority="172" operator="greaterThan">
      <formula>37.01</formula>
    </cfRule>
  </conditionalFormatting>
  <conditionalFormatting sqref="I41">
    <cfRule type="cellIs" dxfId="164" priority="169" operator="lessThan">
      <formula>0.249</formula>
    </cfRule>
    <cfRule type="cellIs" dxfId="163" priority="170" operator="greaterThan">
      <formula>0.249</formula>
    </cfRule>
  </conditionalFormatting>
  <conditionalFormatting sqref="I42">
    <cfRule type="cellIs" dxfId="162" priority="167" operator="lessThan">
      <formula>0.65</formula>
    </cfRule>
    <cfRule type="cellIs" dxfId="161" priority="168" operator="greaterThan">
      <formula>0.649</formula>
    </cfRule>
  </conditionalFormatting>
  <conditionalFormatting sqref="I43">
    <cfRule type="cellIs" dxfId="160" priority="114" operator="greaterThan">
      <formula>48.9</formula>
    </cfRule>
    <cfRule type="cellIs" dxfId="159" priority="115" operator="lessThan">
      <formula>49</formula>
    </cfRule>
    <cfRule type="cellIs" dxfId="158" priority="116" operator="lessThan">
      <formula>49</formula>
    </cfRule>
    <cfRule type="cellIs" dxfId="157" priority="117" operator="greaterThan">
      <formula>48.9</formula>
    </cfRule>
    <cfRule type="cellIs" dxfId="156" priority="165" operator="lessThan">
      <formula>47.1</formula>
    </cfRule>
    <cfRule type="cellIs" dxfId="155" priority="166" operator="greaterThan">
      <formula>47</formula>
    </cfRule>
  </conditionalFormatting>
  <conditionalFormatting sqref="I44">
    <cfRule type="cellIs" dxfId="154" priority="163" operator="lessThan">
      <formula>51.1</formula>
    </cfRule>
    <cfRule type="cellIs" dxfId="153" priority="164" operator="greaterThan">
      <formula>51</formula>
    </cfRule>
  </conditionalFormatting>
  <conditionalFormatting sqref="G39:H39">
    <cfRule type="cellIs" dxfId="152" priority="126" operator="lessThan">
      <formula>38</formula>
    </cfRule>
    <cfRule type="cellIs" dxfId="151" priority="127" operator="greaterThan">
      <formula>37.9</formula>
    </cfRule>
    <cfRule type="cellIs" dxfId="150" priority="161" operator="lessThan">
      <formula>38</formula>
    </cfRule>
    <cfRule type="cellIs" dxfId="149" priority="162" operator="greaterThan">
      <formula>37.9</formula>
    </cfRule>
  </conditionalFormatting>
  <conditionalFormatting sqref="G41:H41">
    <cfRule type="cellIs" dxfId="148" priority="159" operator="lessThan">
      <formula>0.25</formula>
    </cfRule>
    <cfRule type="cellIs" dxfId="147" priority="160" operator="greaterThan">
      <formula>0.249</formula>
    </cfRule>
  </conditionalFormatting>
  <conditionalFormatting sqref="F42:H42">
    <cfRule type="cellIs" dxfId="146" priority="157" operator="lessThan">
      <formula>0.6</formula>
    </cfRule>
    <cfRule type="cellIs" dxfId="145" priority="158" operator="greaterThan">
      <formula>0.599</formula>
    </cfRule>
  </conditionalFormatting>
  <conditionalFormatting sqref="G36">
    <cfRule type="cellIs" dxfId="144" priority="154" operator="lessThan">
      <formula>14</formula>
    </cfRule>
    <cfRule type="cellIs" dxfId="143" priority="155" operator="greaterThan">
      <formula>13.99</formula>
    </cfRule>
    <cfRule type="cellIs" dxfId="142" priority="156" operator="greaterThan">
      <formula>14</formula>
    </cfRule>
  </conditionalFormatting>
  <conditionalFormatting sqref="F36">
    <cfRule type="cellIs" dxfId="141" priority="152" operator="lessThan">
      <formula>16</formula>
    </cfRule>
    <cfRule type="cellIs" dxfId="140" priority="153" operator="greaterThan">
      <formula>15.9</formula>
    </cfRule>
  </conditionalFormatting>
  <conditionalFormatting sqref="E36">
    <cfRule type="cellIs" dxfId="139" priority="150" operator="lessThan">
      <formula>18</formula>
    </cfRule>
    <cfRule type="cellIs" dxfId="138" priority="151" operator="greaterThan">
      <formula>17.9</formula>
    </cfRule>
  </conditionalFormatting>
  <conditionalFormatting sqref="C36:D36">
    <cfRule type="cellIs" dxfId="137" priority="148" operator="lessThan">
      <formula>24</formula>
    </cfRule>
    <cfRule type="cellIs" dxfId="136" priority="149" operator="greaterThan">
      <formula>23.99</formula>
    </cfRule>
  </conditionalFormatting>
  <conditionalFormatting sqref="C37:F37">
    <cfRule type="cellIs" dxfId="135" priority="145" operator="greaterThan">
      <formula>0.249</formula>
    </cfRule>
    <cfRule type="cellIs" dxfId="134" priority="146" operator="lessThan">
      <formula>0.25</formula>
    </cfRule>
    <cfRule type="cellIs" dxfId="133" priority="147" operator="greaterThan">
      <formula>24.9</formula>
    </cfRule>
  </conditionalFormatting>
  <conditionalFormatting sqref="C39:F39">
    <cfRule type="cellIs" dxfId="132" priority="124" operator="lessThan">
      <formula>39.99</formula>
    </cfRule>
    <cfRule type="cellIs" dxfId="131" priority="125" operator="greaterThan">
      <formula>39.99</formula>
    </cfRule>
    <cfRule type="cellIs" dxfId="130" priority="143" operator="lessThan">
      <formula>40.1</formula>
    </cfRule>
    <cfRule type="cellIs" dxfId="129" priority="144" operator="greaterThan">
      <formula>40</formula>
    </cfRule>
  </conditionalFormatting>
  <conditionalFormatting sqref="C41:F41">
    <cfRule type="cellIs" dxfId="128" priority="141" operator="lessThan">
      <formula>0.15</formula>
    </cfRule>
    <cfRule type="cellIs" dxfId="127" priority="142" operator="greaterThan">
      <formula>0.149</formula>
    </cfRule>
  </conditionalFormatting>
  <conditionalFormatting sqref="D42:E42">
    <cfRule type="cellIs" dxfId="126" priority="139" operator="lessThan">
      <formula>0.5</formula>
    </cfRule>
    <cfRule type="cellIs" dxfId="125" priority="140" operator="greaterThan">
      <formula>0.499</formula>
    </cfRule>
  </conditionalFormatting>
  <conditionalFormatting sqref="C42">
    <cfRule type="cellIs" dxfId="124" priority="135" operator="lessThan">
      <formula>0.4</formula>
    </cfRule>
    <cfRule type="cellIs" dxfId="123" priority="136" operator="greaterThan">
      <formula>0.399</formula>
    </cfRule>
    <cfRule type="cellIs" dxfId="122" priority="137" operator="lessThan">
      <formula>0.4</formula>
    </cfRule>
    <cfRule type="cellIs" dxfId="121" priority="138" operator="greaterThan">
      <formula>0.499</formula>
    </cfRule>
  </conditionalFormatting>
  <conditionalFormatting sqref="C38:F38">
    <cfRule type="cellIs" dxfId="120" priority="133" operator="lessThan">
      <formula>0.3</formula>
    </cfRule>
    <cfRule type="cellIs" dxfId="119" priority="134" operator="greaterThan">
      <formula>0.299</formula>
    </cfRule>
  </conditionalFormatting>
  <conditionalFormatting sqref="C47:C49">
    <cfRule type="cellIs" dxfId="118" priority="122" operator="lessThan">
      <formula>1</formula>
    </cfRule>
    <cfRule type="cellIs" dxfId="117" priority="123" operator="greaterThan">
      <formula>0.9</formula>
    </cfRule>
  </conditionalFormatting>
  <conditionalFormatting sqref="C52:C53">
    <cfRule type="cellIs" dxfId="116" priority="120" operator="lessThan">
      <formula>24</formula>
    </cfRule>
    <cfRule type="cellIs" dxfId="115" priority="121" operator="greaterThan">
      <formula>23.9</formula>
    </cfRule>
  </conditionalFormatting>
  <conditionalFormatting sqref="C56">
    <cfRule type="cellIs" dxfId="114" priority="118" operator="lessThan">
      <formula>6</formula>
    </cfRule>
    <cfRule type="cellIs" dxfId="113" priority="119" operator="greaterThan">
      <formula>5.99</formula>
    </cfRule>
  </conditionalFormatting>
  <conditionalFormatting sqref="H43">
    <cfRule type="cellIs" dxfId="112" priority="112" operator="lessThan">
      <formula>49</formula>
    </cfRule>
    <cfRule type="cellIs" dxfId="111" priority="113" operator="greaterThan">
      <formula>48.9</formula>
    </cfRule>
  </conditionalFormatting>
  <conditionalFormatting sqref="G43">
    <cfRule type="cellIs" dxfId="110" priority="110" operator="lessThan">
      <formula>51</formula>
    </cfRule>
    <cfRule type="cellIs" dxfId="109" priority="111" operator="greaterThan">
      <formula>50.9</formula>
    </cfRule>
  </conditionalFormatting>
  <conditionalFormatting sqref="F43">
    <cfRule type="cellIs" dxfId="108" priority="108" operator="lessThan">
      <formula>53</formula>
    </cfRule>
    <cfRule type="cellIs" dxfId="107" priority="109" operator="greaterThan">
      <formula>52.9</formula>
    </cfRule>
  </conditionalFormatting>
  <conditionalFormatting sqref="E43">
    <cfRule type="cellIs" dxfId="106" priority="106" operator="lessThan">
      <formula>55</formula>
    </cfRule>
    <cfRule type="cellIs" dxfId="105" priority="107" operator="greaterThan">
      <formula>54.9</formula>
    </cfRule>
  </conditionalFormatting>
  <conditionalFormatting sqref="D43">
    <cfRule type="cellIs" dxfId="104" priority="104" operator="lessThan">
      <formula>57</formula>
    </cfRule>
    <cfRule type="cellIs" dxfId="103" priority="105" operator="greaterThan">
      <formula>56.9</formula>
    </cfRule>
  </conditionalFormatting>
  <conditionalFormatting sqref="C43">
    <cfRule type="cellIs" dxfId="102" priority="102" operator="lessThan">
      <formula>57</formula>
    </cfRule>
    <cfRule type="cellIs" dxfId="101" priority="103" operator="greaterThan">
      <formula>56.9</formula>
    </cfRule>
  </conditionalFormatting>
  <conditionalFormatting sqref="H44">
    <cfRule type="cellIs" dxfId="100" priority="100" operator="lessThan">
      <formula>53</formula>
    </cfRule>
    <cfRule type="cellIs" dxfId="99" priority="101" operator="greaterThan">
      <formula>52.9</formula>
    </cfRule>
  </conditionalFormatting>
  <conditionalFormatting sqref="G44">
    <cfRule type="cellIs" dxfId="98" priority="98" operator="lessThan">
      <formula>55</formula>
    </cfRule>
    <cfRule type="cellIs" dxfId="97" priority="99" operator="greaterThan">
      <formula>54.9</formula>
    </cfRule>
  </conditionalFormatting>
  <conditionalFormatting sqref="F44">
    <cfRule type="cellIs" dxfId="96" priority="96" operator="lessThan">
      <formula>57</formula>
    </cfRule>
    <cfRule type="cellIs" dxfId="95" priority="97" operator="greaterThan">
      <formula>56.9</formula>
    </cfRule>
  </conditionalFormatting>
  <conditionalFormatting sqref="E44">
    <cfRule type="cellIs" dxfId="94" priority="94" operator="lessThan">
      <formula>59</formula>
    </cfRule>
    <cfRule type="cellIs" dxfId="93" priority="95" operator="greaterThan">
      <formula>58.9</formula>
    </cfRule>
  </conditionalFormatting>
  <conditionalFormatting sqref="D44">
    <cfRule type="cellIs" dxfId="92" priority="92" operator="lessThan">
      <formula>61</formula>
    </cfRule>
    <cfRule type="cellIs" dxfId="91" priority="93" operator="greaterThan">
      <formula>60.9</formula>
    </cfRule>
  </conditionalFormatting>
  <conditionalFormatting sqref="C44">
    <cfRule type="cellIs" dxfId="90" priority="90" operator="lessThan">
      <formula>63</formula>
    </cfRule>
    <cfRule type="cellIs" dxfId="89" priority="91" operator="greaterThan">
      <formula>62.9</formula>
    </cfRule>
  </conditionalFormatting>
  <conditionalFormatting sqref="C50">
    <cfRule type="cellIs" dxfId="88" priority="88" operator="lessThanOrEqual">
      <formula>5</formula>
    </cfRule>
    <cfRule type="cellIs" dxfId="87" priority="89" operator="greaterThanOrEqual">
      <formula>5</formula>
    </cfRule>
  </conditionalFormatting>
  <conditionalFormatting sqref="D50">
    <cfRule type="cellIs" dxfId="86" priority="86" operator="greaterThanOrEqual">
      <formula>6</formula>
    </cfRule>
    <cfRule type="cellIs" dxfId="85" priority="87" operator="lessThan">
      <formula>6</formula>
    </cfRule>
  </conditionalFormatting>
  <conditionalFormatting sqref="E50">
    <cfRule type="cellIs" dxfId="84" priority="84" operator="greaterThanOrEqual">
      <formula>7</formula>
    </cfRule>
    <cfRule type="cellIs" dxfId="83" priority="85" operator="lessThan">
      <formula>7</formula>
    </cfRule>
  </conditionalFormatting>
  <conditionalFormatting sqref="F50">
    <cfRule type="cellIs" dxfId="82" priority="82" operator="lessThan">
      <formula>10</formula>
    </cfRule>
    <cfRule type="cellIs" dxfId="81" priority="83" operator="greaterThanOrEqual">
      <formula>10</formula>
    </cfRule>
  </conditionalFormatting>
  <conditionalFormatting sqref="G50">
    <cfRule type="cellIs" dxfId="80" priority="80" operator="lessThan">
      <formula>12</formula>
    </cfRule>
    <cfRule type="cellIs" dxfId="79" priority="81" operator="greaterThanOrEqual">
      <formula>12</formula>
    </cfRule>
  </conditionalFormatting>
  <conditionalFormatting sqref="H50">
    <cfRule type="cellIs" dxfId="78" priority="78" operator="lessThan">
      <formula>14</formula>
    </cfRule>
    <cfRule type="cellIs" dxfId="77" priority="79" operator="greaterThanOrEqual">
      <formula>14</formula>
    </cfRule>
  </conditionalFormatting>
  <conditionalFormatting sqref="I50">
    <cfRule type="cellIs" dxfId="76" priority="76" operator="lessThan">
      <formula>17</formula>
    </cfRule>
    <cfRule type="cellIs" dxfId="75" priority="77" operator="greaterThanOrEqual">
      <formula>17</formula>
    </cfRule>
  </conditionalFormatting>
  <conditionalFormatting sqref="J50">
    <cfRule type="cellIs" dxfId="74" priority="74" operator="lessThan">
      <formula>19</formula>
    </cfRule>
    <cfRule type="cellIs" dxfId="73" priority="75" operator="greaterThanOrEqual">
      <formula>19</formula>
    </cfRule>
  </conditionalFormatting>
  <conditionalFormatting sqref="K50">
    <cfRule type="cellIs" dxfId="72" priority="72" operator="lessThan">
      <formula>22</formula>
    </cfRule>
    <cfRule type="cellIs" dxfId="71" priority="73" operator="greaterThanOrEqual">
      <formula>22</formula>
    </cfRule>
  </conditionalFormatting>
  <conditionalFormatting sqref="L50">
    <cfRule type="cellIs" dxfId="70" priority="70" operator="lessThan">
      <formula>24</formula>
    </cfRule>
    <cfRule type="cellIs" dxfId="69" priority="71" operator="greaterThanOrEqual">
      <formula>24</formula>
    </cfRule>
  </conditionalFormatting>
  <conditionalFormatting sqref="C51">
    <cfRule type="cellIs" dxfId="68" priority="68" operator="lessThanOrEqual">
      <formula>5</formula>
    </cfRule>
    <cfRule type="cellIs" dxfId="67" priority="69" operator="greaterThanOrEqual">
      <formula>5</formula>
    </cfRule>
  </conditionalFormatting>
  <conditionalFormatting sqref="D51">
    <cfRule type="cellIs" dxfId="66" priority="66" operator="greaterThanOrEqual">
      <formula>6</formula>
    </cfRule>
    <cfRule type="cellIs" dxfId="65" priority="67" operator="lessThan">
      <formula>6</formula>
    </cfRule>
  </conditionalFormatting>
  <conditionalFormatting sqref="E51">
    <cfRule type="cellIs" dxfId="64" priority="64" operator="greaterThanOrEqual">
      <formula>7</formula>
    </cfRule>
    <cfRule type="cellIs" dxfId="63" priority="65" operator="lessThan">
      <formula>7</formula>
    </cfRule>
  </conditionalFormatting>
  <conditionalFormatting sqref="F51">
    <cfRule type="cellIs" dxfId="62" priority="62" operator="lessThan">
      <formula>10</formula>
    </cfRule>
    <cfRule type="cellIs" dxfId="61" priority="63" operator="greaterThanOrEqual">
      <formula>10</formula>
    </cfRule>
  </conditionalFormatting>
  <conditionalFormatting sqref="G51">
    <cfRule type="cellIs" dxfId="60" priority="60" operator="lessThan">
      <formula>12</formula>
    </cfRule>
    <cfRule type="cellIs" dxfId="59" priority="61" operator="greaterThanOrEqual">
      <formula>12</formula>
    </cfRule>
  </conditionalFormatting>
  <conditionalFormatting sqref="H51">
    <cfRule type="cellIs" dxfId="58" priority="58" operator="lessThan">
      <formula>14</formula>
    </cfRule>
    <cfRule type="cellIs" dxfId="57" priority="59" operator="greaterThanOrEqual">
      <formula>14</formula>
    </cfRule>
  </conditionalFormatting>
  <conditionalFormatting sqref="I51">
    <cfRule type="cellIs" dxfId="56" priority="56" operator="lessThan">
      <formula>17</formula>
    </cfRule>
    <cfRule type="cellIs" dxfId="55" priority="57" operator="greaterThanOrEqual">
      <formula>17</formula>
    </cfRule>
  </conditionalFormatting>
  <conditionalFormatting sqref="J51">
    <cfRule type="cellIs" dxfId="54" priority="54" operator="lessThan">
      <formula>19</formula>
    </cfRule>
    <cfRule type="cellIs" dxfId="53" priority="55" operator="greaterThanOrEqual">
      <formula>19</formula>
    </cfRule>
  </conditionalFormatting>
  <conditionalFormatting sqref="K51">
    <cfRule type="cellIs" dxfId="52" priority="52" operator="lessThan">
      <formula>22</formula>
    </cfRule>
    <cfRule type="cellIs" dxfId="51" priority="53" operator="greaterThanOrEqual">
      <formula>22</formula>
    </cfRule>
  </conditionalFormatting>
  <conditionalFormatting sqref="L51">
    <cfRule type="cellIs" dxfId="50" priority="50" operator="lessThan">
      <formula>24</formula>
    </cfRule>
    <cfRule type="cellIs" dxfId="49" priority="51" operator="greaterThanOrEqual">
      <formula>24</formula>
    </cfRule>
  </conditionalFormatting>
  <conditionalFormatting sqref="C54">
    <cfRule type="cellIs" dxfId="48" priority="39" operator="greaterThanOrEqual">
      <formula>0.08</formula>
    </cfRule>
    <cfRule type="cellIs" dxfId="47" priority="49" operator="lessThan">
      <formula>0.08</formula>
    </cfRule>
  </conditionalFormatting>
  <conditionalFormatting sqref="D54">
    <cfRule type="cellIs" dxfId="46" priority="38" operator="greaterThanOrEqual">
      <formula>0.1</formula>
    </cfRule>
    <cfRule type="cellIs" dxfId="45" priority="48" operator="lessThan">
      <formula>0.1</formula>
    </cfRule>
  </conditionalFormatting>
  <conditionalFormatting sqref="E54">
    <cfRule type="cellIs" dxfId="44" priority="37" operator="greaterThanOrEqual">
      <formula>1</formula>
    </cfRule>
    <cfRule type="cellIs" dxfId="43" priority="47" operator="lessThan">
      <formula>1</formula>
    </cfRule>
  </conditionalFormatting>
  <conditionalFormatting sqref="F54">
    <cfRule type="cellIs" dxfId="42" priority="36" operator="greaterThanOrEqual">
      <formula>1.02</formula>
    </cfRule>
    <cfRule type="cellIs" dxfId="41" priority="46" operator="lessThan">
      <formula>1.02</formula>
    </cfRule>
  </conditionalFormatting>
  <conditionalFormatting sqref="G54">
    <cfRule type="cellIs" dxfId="40" priority="35" operator="greaterThanOrEqual">
      <formula>1.04</formula>
    </cfRule>
    <cfRule type="cellIs" dxfId="39" priority="45" operator="lessThan">
      <formula>1.04</formula>
    </cfRule>
  </conditionalFormatting>
  <conditionalFormatting sqref="H54">
    <cfRule type="cellIs" dxfId="38" priority="34" operator="greaterThanOrEqual">
      <formula>1.06</formula>
    </cfRule>
    <cfRule type="cellIs" dxfId="37" priority="44" operator="lessThan">
      <formula>1.06</formula>
    </cfRule>
  </conditionalFormatting>
  <conditionalFormatting sqref="I54">
    <cfRule type="cellIs" dxfId="36" priority="33" operator="greaterThanOrEqual">
      <formula>1.08</formula>
    </cfRule>
    <cfRule type="cellIs" dxfId="35" priority="43" operator="lessThan">
      <formula>1.08</formula>
    </cfRule>
  </conditionalFormatting>
  <conditionalFormatting sqref="J54">
    <cfRule type="cellIs" dxfId="34" priority="32" operator="greaterThanOrEqual">
      <formula>1.1</formula>
    </cfRule>
    <cfRule type="cellIs" dxfId="33" priority="42" operator="lessThan">
      <formula>1.1</formula>
    </cfRule>
  </conditionalFormatting>
  <conditionalFormatting sqref="K54">
    <cfRule type="cellIs" dxfId="32" priority="31" operator="greaterThanOrEqual">
      <formula>2</formula>
    </cfRule>
    <cfRule type="cellIs" dxfId="31" priority="41" operator="lessThan">
      <formula>2</formula>
    </cfRule>
  </conditionalFormatting>
  <conditionalFormatting sqref="L54">
    <cfRule type="cellIs" dxfId="30" priority="30" operator="greaterThanOrEqual">
      <formula>2.04</formula>
    </cfRule>
    <cfRule type="cellIs" dxfId="29" priority="40" operator="lessThan">
      <formula>2.04</formula>
    </cfRule>
  </conditionalFormatting>
  <conditionalFormatting sqref="C55">
    <cfRule type="cellIs" dxfId="28" priority="26" operator="lessThan">
      <formula>3.08</formula>
    </cfRule>
    <cfRule type="cellIs" dxfId="27" priority="29" operator="greaterThanOrEqual">
      <formula>3.08</formula>
    </cfRule>
  </conditionalFormatting>
  <conditionalFormatting sqref="D55">
    <cfRule type="cellIs" dxfId="26" priority="25" operator="lessThan">
      <formula>4.02</formula>
    </cfRule>
    <cfRule type="cellIs" dxfId="25" priority="28" operator="greaterThanOrEqual">
      <formula>4.02</formula>
    </cfRule>
  </conditionalFormatting>
  <conditionalFormatting sqref="E55">
    <cfRule type="cellIs" dxfId="24" priority="24" operator="lessThan">
      <formula>4.08</formula>
    </cfRule>
    <cfRule type="cellIs" dxfId="23" priority="27" operator="greaterThanOrEqual">
      <formula>4.08</formula>
    </cfRule>
  </conditionalFormatting>
  <conditionalFormatting sqref="F55">
    <cfRule type="cellIs" dxfId="22" priority="22" operator="lessThan">
      <formula>5.02</formula>
    </cfRule>
    <cfRule type="cellIs" dxfId="21" priority="23" operator="greaterThanOrEqual">
      <formula>5.02</formula>
    </cfRule>
  </conditionalFormatting>
  <conditionalFormatting sqref="G55">
    <cfRule type="cellIs" dxfId="20" priority="19" operator="lessThan">
      <formula>5.08</formula>
    </cfRule>
    <cfRule type="cellIs" dxfId="19" priority="21" operator="greaterThanOrEqual">
      <formula>5.08</formula>
    </cfRule>
  </conditionalFormatting>
  <conditionalFormatting sqref="H55">
    <cfRule type="cellIs" dxfId="18" priority="10" operator="greaterThanOrEqual">
      <formula>6.02</formula>
    </cfRule>
    <cfRule type="cellIs" dxfId="17" priority="20" operator="lessThan">
      <formula>6.08</formula>
    </cfRule>
  </conditionalFormatting>
  <conditionalFormatting sqref="I55">
    <cfRule type="cellIs" dxfId="16" priority="17" operator="lessThan">
      <formula>6.08</formula>
    </cfRule>
    <cfRule type="cellIs" dxfId="15" priority="18" operator="greaterThanOrEqual">
      <formula>6.08</formula>
    </cfRule>
  </conditionalFormatting>
  <conditionalFormatting sqref="J55">
    <cfRule type="cellIs" dxfId="14" priority="15" operator="lessThan">
      <formula>7.02</formula>
    </cfRule>
    <cfRule type="cellIs" dxfId="13" priority="16" operator="greaterThanOrEqual">
      <formula>7.02</formula>
    </cfRule>
  </conditionalFormatting>
  <conditionalFormatting sqref="K55">
    <cfRule type="cellIs" dxfId="12" priority="13" operator="lessThan">
      <formula>7.08</formula>
    </cfRule>
    <cfRule type="cellIs" dxfId="11" priority="14" operator="greaterThanOrEqual">
      <formula>7.08</formula>
    </cfRule>
  </conditionalFormatting>
  <conditionalFormatting sqref="L55">
    <cfRule type="cellIs" dxfId="10" priority="11" operator="lessThan">
      <formula>8</formula>
    </cfRule>
    <cfRule type="cellIs" dxfId="9" priority="12" operator="greaterThanOrEqual">
      <formula>8</formula>
    </cfRule>
  </conditionalFormatting>
  <conditionalFormatting sqref="H36">
    <cfRule type="cellIs" dxfId="8" priority="8" operator="greaterThan">
      <formula>11.9</formula>
    </cfRule>
    <cfRule type="cellIs" dxfId="7" priority="9" operator="lessThan">
      <formula>12</formula>
    </cfRule>
  </conditionalFormatting>
  <conditionalFormatting sqref="I86">
    <cfRule type="cellIs" dxfId="6" priority="1" operator="lessThan">
      <formula>1</formula>
    </cfRule>
    <cfRule type="cellIs" dxfId="5" priority="2" operator="lessThan">
      <formula>0</formula>
    </cfRule>
    <cfRule type="cellIs" dxfId="4" priority="3" operator="lessThan">
      <formula>0</formula>
    </cfRule>
  </conditionalFormatting>
  <conditionalFormatting sqref="I79">
    <cfRule type="cellIs" dxfId="3" priority="5" operator="lessThan">
      <formula>1</formula>
    </cfRule>
    <cfRule type="cellIs" dxfId="2" priority="6" operator="lessThan">
      <formula>0</formula>
    </cfRule>
    <cfRule type="cellIs" dxfId="1" priority="7" operator="lessThan">
      <formula>0</formula>
    </cfRule>
  </conditionalFormatting>
  <conditionalFormatting sqref="I89:I90 I93:I94">
    <cfRule type="cellIs" dxfId="0" priority="4" operator="lessThan">
      <formula>1</formula>
    </cfRule>
  </conditionalFormatting>
  <printOptions gridLines="1"/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Actual Board</vt:lpstr>
      <vt:lpstr>9.1.14</vt:lpstr>
      <vt:lpstr>12.1.14</vt:lpstr>
      <vt:lpstr>3.4.15</vt:lpstr>
      <vt:lpstr>8.7.15</vt:lpstr>
      <vt:lpstr>Test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Admin</cp:lastModifiedBy>
  <cp:lastPrinted>2015-03-15T19:03:46Z</cp:lastPrinted>
  <dcterms:created xsi:type="dcterms:W3CDTF">2014-02-17T17:38:50Z</dcterms:created>
  <dcterms:modified xsi:type="dcterms:W3CDTF">2015-08-28T22:46:07Z</dcterms:modified>
</cp:coreProperties>
</file>